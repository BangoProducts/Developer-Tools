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ango365.sharepoint.com/sites/BangoDocumentShare/Shared Documents/Delivery/Business Analysis/Bango Music/Reseller/"/>
    </mc:Choice>
  </mc:AlternateContent>
  <xr:revisionPtr revIDLastSave="454" documentId="8_{EB2C1460-44B1-4FC7-8DE2-B13228984D1A}" xr6:coauthVersionLast="47" xr6:coauthVersionMax="47" xr10:uidLastSave="{03B9ABEE-508C-8448-A8C1-E6384D689719}"/>
  <bookViews>
    <workbookView xWindow="0" yWindow="760" windowWidth="30240" windowHeight="17800" tabRatio="927" activeTab="1" xr2:uid="{C2DCF739-AC69-46A8-88EC-55CCEBE1CC0C}"/>
  </bookViews>
  <sheets>
    <sheet name="Overview" sheetId="19" r:id="rId1"/>
    <sheet name="Tests Summary" sheetId="20" r:id="rId2"/>
    <sheet name="Echo" sheetId="21" r:id="rId3"/>
    <sheet name="Activate" sheetId="22" r:id="rId4"/>
    <sheet name="Double Activation" sheetId="25" r:id="rId5"/>
    <sheet name="Sync Reseller Product Update" sheetId="8" r:id="rId6"/>
    <sheet name="Async Reseller Product Update" sheetId="9" r:id="rId7"/>
    <sheet name="Sync Entitlement Cancel" sheetId="10" r:id="rId8"/>
    <sheet name="Async Entitlement Cancel" sheetId="12" r:id="rId9"/>
    <sheet name="Sync Entitlement Revoke" sheetId="11" r:id="rId10"/>
    <sheet name="Async Entitlement Revoke" sheetId="13" r:id="rId11"/>
    <sheet name="Sync Entitlement Suspend" sheetId="16" r:id="rId12"/>
    <sheet name="Async Entitlement Suspend" sheetId="23" r:id="rId13"/>
    <sheet name="Sync Entitlement Resume" sheetId="17" r:id="rId14"/>
    <sheet name="Async Entitlement Resume" sheetId="24" r:id="rId15"/>
    <sheet name="Data Validation" sheetId="7" state="hidden" r:id="rId1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" i="20" l="1"/>
  <c r="C23" i="20"/>
  <c r="C24" i="20"/>
  <c r="C25" i="20"/>
  <c r="D42" i="20"/>
  <c r="E42" i="20"/>
  <c r="F42" i="20"/>
  <c r="F40" i="20"/>
  <c r="E40" i="20"/>
  <c r="D40" i="20"/>
  <c r="C40" i="20"/>
  <c r="C42" i="20"/>
  <c r="F32" i="20"/>
  <c r="E32" i="20"/>
  <c r="D32" i="20"/>
  <c r="C32" i="20"/>
  <c r="C15" i="20" l="1"/>
  <c r="F41" i="20"/>
  <c r="E41" i="20"/>
  <c r="D41" i="20"/>
  <c r="C41" i="20"/>
  <c r="F39" i="20"/>
  <c r="E39" i="20"/>
  <c r="D39" i="20"/>
  <c r="C39" i="20"/>
  <c r="F38" i="20"/>
  <c r="E38" i="20"/>
  <c r="D38" i="20"/>
  <c r="C38" i="20"/>
  <c r="F37" i="20"/>
  <c r="E37" i="20"/>
  <c r="D37" i="20"/>
  <c r="C37" i="20"/>
  <c r="F36" i="20"/>
  <c r="E36" i="20"/>
  <c r="D36" i="20"/>
  <c r="C36" i="20"/>
  <c r="F35" i="20"/>
  <c r="E35" i="20"/>
  <c r="D35" i="20"/>
  <c r="C35" i="20"/>
  <c r="F34" i="20"/>
  <c r="E34" i="20"/>
  <c r="D34" i="20"/>
  <c r="C34" i="20"/>
  <c r="F33" i="20"/>
  <c r="E33" i="20"/>
  <c r="C16" i="20" s="1"/>
  <c r="D33" i="20"/>
  <c r="F31" i="20"/>
  <c r="E31" i="20"/>
  <c r="D31" i="20"/>
  <c r="F30" i="20"/>
  <c r="E30" i="20"/>
  <c r="D30" i="20"/>
  <c r="C33" i="20"/>
  <c r="C31" i="20"/>
  <c r="C30" i="20"/>
  <c r="C17" i="20" l="1"/>
  <c r="C20" i="20"/>
  <c r="C21" i="20"/>
  <c r="C19" i="20"/>
  <c r="C18" i="20"/>
  <c r="C14" i="20"/>
  <c r="C1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tc={63CBB83A-B0B8-46B4-86EB-4F1C08442ACD}</author>
  </authors>
  <commentList>
    <comment ref="B2" authorId="0" shapeId="0" xr:uid="{63CBB83A-B0B8-46B4-86EB-4F1C08442AC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Bango resale API looks good. Using postman interchangeably can be confusing. Also we do not want reseller to use postman collection to do their self-cert. Probably we can use "using Bango resale API" consistently
Reply:
    Do for other tabs as well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tc={AB0AA377-9D2E-B44C-A547-44D28B3C1BC3}</author>
    <author>tc={28EE9EBE-D890-CC47-BC24-EF2B09B6AD2B}</author>
  </authors>
  <commentList>
    <comment ref="B2" authorId="0" shapeId="0" xr:uid="{AB0AA377-9D2E-B44C-A547-44D28B3C1BC3}">
      <text>
        <t>[Threaded comment]
Your version of Excel allows you to read this threaded comment; however, any edits to it will get removed if the file is opened in a newer version of Excel. Learn more: https://go.microsoft.com/fwlink/?linkid=870924
Comment:
    Do we need this test case?</t>
      </text>
    </comment>
    <comment ref="H5" authorId="1" shapeId="0" xr:uid="{28EE9EBE-D890-CC47-BC24-EF2B09B6AD2B}">
      <text>
        <t>[Threaded comment]
Your version of Excel allows you to read this threaded comment; however, any edits to it will get removed if the file is opened in a newer version of Excel. Learn more: https://go.microsoft.com/fwlink/?linkid=870924
Comment:
    @Asha Belaguly [GBR] Can you also double check this with Sarah? Most likely this is outdated or Bango Music as a non expected behaviour.
IF required I will follow up with Product
Reply:
    Will assume idem potency 
Reply:
    Bango Music created another entitlement, Sabitha mentions it provides an error state
Reply:
    Sabitha, we should not capture this on self cert because this is unhappy path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tc={F4128067-974A-EE47-B477-BC8B19F41D5B}</author>
  </authors>
  <commentList>
    <comment ref="B1" authorId="0" shapeId="0" xr:uid="{F4128067-974A-EE47-B477-BC8B19F41D5B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awareness I removed the query requests, after updates. I’ll also update Postman Accordingly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tc={08913430-D8A4-B143-8142-EDF0E80898B0}</author>
  </authors>
  <commentList>
    <comment ref="B7" authorId="0" shapeId="0" xr:uid="{08913430-D8A4-B143-8142-EDF0E80898B0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will a reseller act as a merchant?
Reply:
    Think here the objective is to make the reseller aware they will receive a 202 and after a 200 but their behaviour will be the same PATCH entitlement 
Reply:
    This will be same thing for Cancel / revoke ..
Reply:
    Reseller need not act as a merchant to do this...it is BANGO simulator which needs to act as merchant….to test async, we can request ops to set test reseller to Bango configuration as 2 step for update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tc={4AF7580A-97BE-43CE-B901-708724E4F3DB}</author>
  </authors>
  <commentList>
    <comment ref="C6" authorId="0" shapeId="0" xr:uid="{4AF7580A-97BE-43CE-B901-708724E4F3D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status in this cell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tc={262EBBA6-1CA9-40C1-8A95-D82346CB53E3}</author>
  </authors>
  <commentList>
    <comment ref="B7" authorId="0" shapeId="0" xr:uid="{262EBBA6-1CA9-40C1-8A95-D82346CB53E3}">
      <text>
        <t>[Threaded comment]
Your version of Excel allows you to read this threaded comment; however, any edits to it will get removed if the file is opened in a newer version of Excel. Learn more: https://go.microsoft.com/fwlink/?linkid=870924
Comment:
    Lets add "Use the Bango Resale API to query the entitlement created" here ...so that they can check the current status</t>
      </text>
    </comment>
  </commentList>
</comments>
</file>

<file path=xl/sharedStrings.xml><?xml version="1.0" encoding="utf-8"?>
<sst xmlns="http://schemas.openxmlformats.org/spreadsheetml/2006/main" count="445" uniqueCount="132">
  <si>
    <t>Document Purpose</t>
  </si>
  <si>
    <t xml:space="preserve">This document is provided to the reseller to use as a minimum test plan for the reseller to self-certify the connection between the reseller and Bango systems. The Bango Music product will be used for all tests as a test Merchant. </t>
  </si>
  <si>
    <t>Document Outcome</t>
  </si>
  <si>
    <t>The reseller must complete the self-certification tests and fill in this document and send it to Bango (email: support@bango.com). When Bango have reviewed the completed document, Bango will provide the relevant feedback or certification for the reseller connection.</t>
  </si>
  <si>
    <t>Certification Steps</t>
  </si>
  <si>
    <t>1.	Reseller completes all testing outlined in this document</t>
  </si>
  <si>
    <t>2.	Reseller documents all test results in this document and sends results to Bango</t>
  </si>
  <si>
    <t>3.	Bango checks the test results against the Bango Platform logs</t>
  </si>
  <si>
    <t>4.	Bango signs off the reseller as Bango Certified and confirms this to the reseller</t>
  </si>
  <si>
    <t xml:space="preserve">Certification Process Prerequisites </t>
  </si>
  <si>
    <t>1.	Valid Bango Resale API username and password for a Bango test account</t>
  </si>
  <si>
    <t xml:space="preserve">2.	IP addresses for the reseller systems provided and whitelisted on Bango system </t>
  </si>
  <si>
    <t xml:space="preserve">3.	Basic Authentication (https://developer.bango.com/platform/connectivity/) </t>
  </si>
  <si>
    <t>Bango Music</t>
  </si>
  <si>
    <t xml:space="preserve">Bango Music is a test merchant provided by Bango which simulates a merchant. Bango Music can be used to test against the Bango platform without a live merchant connection. </t>
  </si>
  <si>
    <t>For all certification tests in this document, the following API parameters should be used:</t>
  </si>
  <si>
    <t>productKey</t>
  </si>
  <si>
    <t>BangoMusic</t>
  </si>
  <si>
    <t>merchantAccountKey</t>
  </si>
  <si>
    <t>BANGO</t>
  </si>
  <si>
    <t xml:space="preserve">For more information please see the Bango Developer information on the Bango website: https://developer.bango.com/resale/ </t>
  </si>
  <si>
    <t>Reseller System Information</t>
  </si>
  <si>
    <t>Tester Name</t>
  </si>
  <si>
    <t>Date and Time of Document Completion (UTC)</t>
  </si>
  <si>
    <t xml:space="preserve">Result </t>
  </si>
  <si>
    <t>Comments</t>
  </si>
  <si>
    <t>Echo</t>
  </si>
  <si>
    <t>Double Activation</t>
  </si>
  <si>
    <t>Test No</t>
  </si>
  <si>
    <t>Test Case</t>
  </si>
  <si>
    <t>Expected Behaviour</t>
  </si>
  <si>
    <t>EntitlementId</t>
  </si>
  <si>
    <t>PASS</t>
  </si>
  <si>
    <t>Use the Bango Resale API to query the entitlement created</t>
  </si>
  <si>
    <t>FAIL</t>
  </si>
  <si>
    <t>Sync Reseller Product Update</t>
  </si>
  <si>
    <t>Async Reseller Product Update</t>
  </si>
  <si>
    <t>Sync Entitlement Cancel</t>
  </si>
  <si>
    <t>Sync Entitlement Revoke</t>
  </si>
  <si>
    <t>Async Entitlement Cancel</t>
  </si>
  <si>
    <t>Async Entitlement Revoke</t>
  </si>
  <si>
    <t>Use the Bango Resale API method to check the API availability.</t>
  </si>
  <si>
    <t>Use the Bango Resale API method to revoke the entitlement created</t>
  </si>
  <si>
    <t>Use the Bango Resale API method to cancel the entitlement</t>
  </si>
  <si>
    <t>"HTTP Code: 202
{
responseCode"": ""ACCEPTED"",
    ""responseMessage"": ""Termination request accepted by merchant."",
    ""entitlementId"": ""___"",
    ""status"": ""ACTIVE"",
}"</t>
  </si>
  <si>
    <t>Use the Bango Resale API method to revoke the entitlement</t>
  </si>
  <si>
    <t>Use the Bango Resale API method to suspend the entitlement</t>
  </si>
  <si>
    <t>Use the Bango Resale API method to resume the entitlement</t>
  </si>
  <si>
    <t>Date</t>
  </si>
  <si>
    <t>"HTTP Code: 202
{
responseCode"": ""ACCEPTED"",
    ""responseMessage"": ""Update request accepted by merchant."",
    ""entitlementId"": ""___"",
    ""status"": ""ACTIVE"",
}"</t>
  </si>
  <si>
    <t>Notification URL</t>
  </si>
  <si>
    <t xml:space="preserve">In the corresponding collection provided by Bango we have filled in a placeholder in the notification URL parameter. If you wish to test notifications and their content, replace the placeholder value in the requests with an endpoint you can intercept. </t>
  </si>
  <si>
    <t xml:space="preserve">Test Credentials </t>
  </si>
  <si>
    <t>Test Summary</t>
  </si>
  <si>
    <t>Test scenario</t>
  </si>
  <si>
    <t>In Scope</t>
  </si>
  <si>
    <t>YES</t>
  </si>
  <si>
    <t>Activate</t>
  </si>
  <si>
    <t>Test Scenario</t>
  </si>
  <si>
    <t>Total number of tests</t>
  </si>
  <si>
    <t>NOT RUN</t>
  </si>
  <si>
    <t>Bango Sign Off Information</t>
  </si>
  <si>
    <t>Business Analysts Sign Off</t>
  </si>
  <si>
    <t>NO</t>
  </si>
  <si>
    <t>Failed</t>
  </si>
  <si>
    <t>Status</t>
  </si>
  <si>
    <t>Expected Behavior</t>
  </si>
  <si>
    <t xml:space="preserve">Actual Behavior </t>
  </si>
  <si>
    <t>Test Results</t>
  </si>
  <si>
    <t>Comment</t>
  </si>
  <si>
    <t>Bango
BA Sign Off</t>
  </si>
  <si>
    <t xml:space="preserve"> </t>
  </si>
  <si>
    <t>Bango responds to Test Reseller with the following 
HTTP Code: 200 accepted 
{
  "response Code": "OK",
  "response Message": "Success",
  "echo": "a25100b8-4e0c-4e37-b921-cac9cb1e930f"
}</t>
  </si>
  <si>
    <t xml:space="preserve"> "status": "PENDING"</t>
  </si>
  <si>
    <t xml:space="preserve"> "status": "Active"</t>
  </si>
  <si>
    <t>Bango responds to Reseller with the following 
HTTP Code: 202 accepted 
Bango responds to Reseller with activation URL for the Customer to be redirected
{
    "entitlementId": {{$guid}},
    "customerIdentifier": "{{$guid}},
    "productKey": "Product 1",
    "entitlementDisplayNajme": null,
    "offerKey": null,
    "merchantAccountKey": "TBA",
    "activationCode": "{{$guid}}",
    "dateCreated": "2022-09-16T09:09:51Z",
    "dateActivated": "0001-01-01T00:00:00Z",
    "dateEnded": "0001-01-01T00:00:00Z",
    "dateExpiry": "0001-01-01T00:00:00Z",
    "dateFailed": "0001-01-01T00:00:00Z",
    "dateSuspended": null,
    "dateResumed": null,
    "dateAutoSuspend": null,
    "responseCode": "CLIENT_ACTION_REQUIRED",
    "responseMessage": "An action is required to be performed by the client.",
    "status": "PENDING",
    "extensionData": null,
    "parameters": {
        "Action": "NAVIGATE_TO_URL",
        "Url": "https://merchant-website.com/new-entitlement/activationUrl"
    },
    "sharedCustomerId": "{{guid}}"
}</t>
  </si>
  <si>
    <t>Status is still pending at this stage as activation using URL is not complete. 
{
    "entitlementId": "{{$guid}}",
    "customerIdentifier": "{{$guid}}",
    "productKey": "TBA",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"PENDING",
    "extensionData": null,
    "parameters": null,
    "sharedCustomerId": "{{$guid}}"
}</t>
  </si>
  <si>
    <t xml:space="preserve"> Signup/Login successful on the merchant site</t>
  </si>
  <si>
    <t>Status activation complete with HTTP Code: 200 accepted 
{
    "entitlementId": "{{$guid}}",
    "customerIdentifier": "{{$guid}}",
    "productKey": "TBA",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</si>
  <si>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Run the postman collection "Query Entitlement" to check the Status of the Entitlement</t>
  </si>
  <si>
    <r>
      <t>Navigate to the "A</t>
    </r>
    <r>
      <rPr>
        <b/>
        <sz val="11"/>
        <color theme="1"/>
        <rFont val="Calibri"/>
        <family val="2"/>
        <scheme val="minor"/>
      </rPr>
      <t xml:space="preserve">ctivation url" </t>
    </r>
    <r>
      <rPr>
        <sz val="11"/>
        <color theme="1"/>
        <rFont val="Calibri"/>
        <family val="2"/>
        <scheme val="minor"/>
      </rPr>
      <t>returned in the create entitlement response to login into Merchant site and fill in all the mandatory fields and click on signup/login button.</t>
    </r>
  </si>
  <si>
    <t>Reseller  Name</t>
  </si>
  <si>
    <t>Reseller Platform(s) Used for Testing, with corresponding software versions</t>
  </si>
  <si>
    <t>Use the reseller credentials provided by Bango if tests are performed in test environment.  Use the same set of credentials throughout the test suite execution.</t>
  </si>
  <si>
    <t xml:space="preserve"> "status": "ACTIVE-ENDING"</t>
  </si>
  <si>
    <t xml:space="preserve"> "status": "REVOKED"</t>
  </si>
  <si>
    <t xml:space="preserve"> "status": "SUSPENDED"</t>
  </si>
  <si>
    <t xml:space="preserve"> "status": "ACTIVE"</t>
  </si>
  <si>
    <t>Use the Bango Resale API method to create a new entitlement 
Service Flow : "Create Entitlement"
Reseller sending a request to Bango to create an entitlement; Bango generates an Entitlement Id and sends the Entitlement Id request to Merchant
This is used when a customer wants to create a new entitlement</t>
  </si>
  <si>
    <t>{
  "responseCode": "OK",
  "responseMessage": "Success",
  "parameters": {},
  "entitlementId": "a25100b8-4e0c-4e37-b921-cac9cb1e930f",
  "customerIdentifier": "4407123456789",
  "productKey": "BangoMusic",
  "entitlementDisplayName": "30 days Bango music",
  "offerKey": null,
  "merchantAccountKey": "BANGO",
  "status": "ACTIVE",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"ACTIVATION_SUCCESS",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</si>
  <si>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"notificationReason": "ACTIVATION_SUCCESS"</t>
  </si>
  <si>
    <t>Status activation complete with HTTP Code: 200 accepted 
{
    "entitlementId": "{{$guid}}",
    "customerIdentifier": "{{$guid}}",
    "productKey": "Product 1",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</si>
  <si>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Use the Bango Resale PATCH API to change the active entitlement's productKey  from Product1 to Product2</t>
  </si>
  <si>
    <t>Status activation complete with HTTP Code: 200 accepted 
{
    "entitlementId": "{{$guid}}",
    "customerIdentifier": "{{$guid}}chng001",
    "productKey": "Product2",
    "entitlementDisplayName": "Entitlement1",
    "offerKey": "TestOffer",
    "merchantAccountKey": "BANGO",
    "activationCode": "{{$guid}}",
    "dateCreated": "2022-09-20T12:31:58Z",
    "dateActivated": "0001-01-01T00:00:00Z",
    "dateEnded": "0001-01-01T00:00:00Z",
    "dateExpiry": "3017-02-01T06:00:00Z",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</si>
  <si>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check notification is received successfully on reseller notification URL</t>
  </si>
  <si>
    <t>"notificationReason": "PRODUCT_UPDATE"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</si>
  <si>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"ACTIVE",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"PRODUCT_UPDATE",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</si>
  <si>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Use the Bango Resale API method to change the product key associated with the entitlement from Product1 to Product2</t>
  </si>
  <si>
    <t>Status is still pending at this stage as activation using URL is not complete. 
{
    "entitlementId": "{{$guid}}",
    "customerIdentifier": "{{$guid}}",
    "productKey": "Product1",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"PENDING",
    "extensionData": null,
    "parameters": null,
    "sharedCustomerId": "{{$guid}}"
}</t>
  </si>
  <si>
    <t>Bango responds to Reseller with the following 
HTTP Code: 202 accepted 
Bango responds to Reseller with activation URL for the Customer to be redirected
{
    "entitlementId": {{$guid}},
    "customerIdentifier": "{{$guid}},
    "productKey": "Product1",
    "entitlementDisplayNajme": null,
    "offerKey": null,
    "merchantAccountKey": "TBA",
    "activationCode": "{{$guid}}",
    "dateCreated": "2022-09-16T09:09:51Z",
    "dateActivated": "0001-01-01T00:00:00Z",
    "dateEnded": "0001-01-01T00:00:00Z",
    "dateExpiry": "0001-01-01T00:00:00Z",
    "dateFailed": "0001-01-01T00:00:00Z",
    "dateSuspended": null,
    "dateResumed": null,
    "dateAutoSuspend": null,
    "responseCode": "CLIENT_ACTION_REQUIRED",
    "responseMessage": "An action is required to be performed by the client.",
    "status": "PENDING",
    "extensionData": null,
    "parameters": {
        "Action": "NAVIGATE_TO_URL",
        "Url": "https://merchant-website.com/new-entitlement/activationUrl"
    },
    "sharedCustomerId": "{{guid}}"
}</t>
  </si>
  <si>
    <t>Status activation complete with HTTP Code: 200 accepted 
{
    "entitlementId": "{{$guid}}",
    "customerIdentifier": "{{$guid}}",
    "productKey": "Product1",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</si>
  <si>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Status activation complete with HTTP Code: 200 accepted 
{
    "entitlementId": "{{$guid}}",
    "customerIdentifier": "{{$guid}}",
    "productKey": "Product2",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</si>
  <si>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Product update is completed by the merchant</t>
  </si>
  <si>
    <t>Product update is completed by the merchant and change in product key from Product1 to Product2 can be checked using the Bango Resale API to query the entitlement</t>
  </si>
  <si>
    <t xml:space="preserve">
HTTP Code: 200
{
    "entitlementId": "{{$guid}}",
    "customerIdentifier": "{{$guid}}",
    "productKey": "Product1",
    "entitlementDisplayName": null,
    "offerKey": null,
    "merchantAccountKey": "BANGO",
    "activationCode": "{{$guid}}",
    "dateCreated": "2023-07-05T10:25:49Z",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"ACTIVE-ENDING",
    "extensionData": {
        "cancelReasonCategory": "CUSTOMER_CANCELLED",
        "cancelReasonCode": "NOT_RENEWED",
        "cancelReasonDescription": "The user has not renewed their subscription"
    },
    "parameters": null
}</t>
  </si>
  <si>
    <t>"notificationReason": "TERMINATION_PENDING"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</si>
  <si>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"ACTIVE",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"TERMINATION_PENDING",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</si>
  <si>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"notificationReason": "TERMINATION_SUCCESS"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</si>
  <si>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"CANCELLED",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"TERMINATION_SUCCESS",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</si>
  <si>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"notificationReason": "TERMINATION_SUCCESS",
"status": "CANCELLED"</t>
  </si>
  <si>
    <t>After the end of the subscription period, cancel request is complete and reseller notification URL receives updated notification along with changed status</t>
  </si>
  <si>
    <t>Cancel request is processed by the merchant and change in entittlement status from ACTIVE to ACTIVE_ENDING can be checked using the Bango Resale API to query the entitlement</t>
  </si>
  <si>
    <t xml:space="preserve">
HTTP Code: 200
{
    "entitlementId": "{{$guid}}",
    "customerIdentifier": "{{$guid}}",
    "productKey": "Product1",
    "entitlementDisplayName": null,
    "offerKey": null,
    "merchantAccountKey": "BANGO",
    "activationCode": "{{$guid}}",
    "dateCreated": "2023-07-05T10:25:49Z",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"REVOKED",
    "extensionData": {
        "cancelReasonCategory": "CUSTOMER_CANCELLED",
        "cancelReasonCode": "NOT_RENEWED",
        "cancelReasonDescription": "The user has not renewed their subscription"
    },
    "parameters": null
}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</si>
  <si>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"ACTIVE",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"TERMINATION_SUCCESS",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</si>
  <si>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Revoke request is processed by the merchant and change in entittlement status from ACTIVE to REVOKED  can be checked using the Bango Resale API to query the entitlement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</si>
  <si>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"REVOKED",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"TERMINATION_SUCCESS",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</si>
  <si>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Status activation complete with HTTP Code: 200 accepted 
{
    "entitlementId": "{{$guid}}",
    "customerIdentifier": "{{$guid}}",
    "productKey": "Product1",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"SUSPENDED",
    "extensionData": null,
    "parameters": null,
    "sharedCustomerId": "{{$guid}}"
}</t>
  </si>
  <si>
    <t>"notificationReason": "SUSPENSION_SUCCESS"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</si>
  <si>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"SUSPENDED",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"SUSPENSION_SUCCESS",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</si>
  <si>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Status activation complete with HTTP Code: 200 accepted 
{
    "entitlementId": "{{$guid}}",
    "customerIdentifier": "{{$guid}}",
    "productKey": "Product1",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</si>
  <si>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"notificationReason": "RESUMPTION_SUCCESS"</t>
  </si>
  <si>
    <t>{
  "responseCode": "OK",
  "responseMessage": "Success",
  "parameters": {},
  "entitlementId": "a25100b8-4e0c-4e37-b921-cac9cb1e930f",
  "customerIdentifier": "4407123456789",
  "productKey": "Product2",
  "entitlementDisplayName": "product 2",
  "offerKey": null,
  "merchantAccountKey": "BANGO",
  "status": "ACTIVE",
  "activationCode": null,
  "dateCreated": "2022-05-18T06:47:43.18Z",
  "dateActivated": "2022-05-18T06:47:44.01Z",
  "dateEnded": "0001-01-01T00:00:00Z",
  "dateExpiry": "0001-01-01T00:00:00Z",
  "dateFailed": "0001-01-01T00:00:00Z",
  "dateSuspended": null,
  "dateResumed": null,
  "dateLastUpdated": null,
  "notificationReason": "RESUMPTION_SUCCESS",
  "externalEntitlementId": "124130d2-2cbc-45a1-ab9b-dfa8b67a2e63",
  "extensionDataList": [
    null
  ],
  "customDataList": [
    null
  ],
  "extensionData": {
    "additionalProp1": "string",
    "additionalProp2": "string",
    "additionalProp3": "string"
  },
  "extraInformation": {
    "clientDevice": {
      "type": "STB",
      "id": "bc449c9e-406f-4399-a3ff-8671a27ac410",
      "typeId": "P49AJFND8NFN23NANGAJG",
      "modelName": "STB Model X7",
      "modelNumber": "IAH45IAOF/5",
      "serialNumber": "JHFJHA43JNFA9393GFD",
      "osType": "Linux",
      "osVersion": "10.3.8",
      "macAddress": "4A-0F-99-F2-D3-DD",
      "browser": "Firefox"
    },
    "communicationInformation": {
      "emailAddress": "123@abc.co.uk",
      "msisdn": "441234567890"
    },
    "source": {
      "channelType": "WEB_PROMOTION",
      "campaignRef": "SUMMER_PROMO",
      "referrer": "SEARCH_ENGINE",
      "bundleId": "BundleABC123",
      "country": "United Kingdom",
      "region": "East Anglia",
      "brand": "BrandABC",
      "serviceFlow": "Creation"
    }
  },
  "financeData": {
    "source": "Merchant",
    "type": "order",
    "timestamp": "2023-07-13T15:06:29.886Z",
    "retailCurrency": "string",
    "retailPrice": 0,
    "retailPriceTax": 0,
    "offerPrice": 0,
    "offerPriceTax": 0,
    "notes": "string"
  }
}</t>
  </si>
  <si>
    <t>Suspend request is processed by the merchant and change in entittlement status from ACTIVE to SUSPENDED  can be checked using the Bango Resale API to query the entitlement</t>
  </si>
  <si>
    <t>Resume request is processed by the merchant and change in entittlement status from SUSPENDED to ACTIVE can be checked using the Bango Resale API to query the entitlement</t>
  </si>
  <si>
    <t>Use the Bango Resale API method to create a new entitlement 
Service Flow : "Create Entitlement"
Using the postman collection provided to simulate a Reseller sending a request to Bango to create an entitlement; Bango generates an Entitlement Id and sends the Entitlement Id request to Merchant
This is used when a customer wants to create a new entitlement</t>
  </si>
  <si>
    <t>Use the Bango Resale API to create a new entitlement with the same parameters as test no 1</t>
  </si>
  <si>
    <t>Status states Pending but entitlement doesn't leave ACTIVE state 
{
    "entitlementId": "{{$guid}}",
    "customerIdentifier": "{{$guid}}",
    "productKey": "TBA",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"PENDING",
    "extensionData": null,
    "parameters": null,
    "sharedCustomerId": "{{$guid}}"
}</t>
  </si>
  <si>
    <t>HTTP 200
{
    "entitlementId": "{{$guid}}",
    "customerIdentifier": "{{$guid}}",
    "productKey": "TBA",
    "entitlementDisplayName": null,
    "offerKey": null,
    "merchantAccountKey": "BANGO",
    "activationCode": "{{$guid}}",
    "dateCreated": "2022-09-20T12:31:58Z",
    "dateActivated": "0001-01-01T00:00:00Z",
    "dateEnded": "0001-01-01T00:00:00Z",
    "dateExpiry": "0001-01-01T00:00:00Z",
    "dateFailed": "0001-01-01T00:00:00Z",
    "dateSuspended": null,
    "dateResumed": null,
    "dateAutoSuspend": null,
    "responseCode": "OK",
    "responseMessage": "Success",
    "status": "ACTIVE",
    "extensionData": null,
    "parameters": null,
    "sharedCustomerId": "{{$guid}}"
}</t>
  </si>
  <si>
    <t>Async Entitlement Resume</t>
  </si>
  <si>
    <t>Async Entitlement Suspend</t>
  </si>
  <si>
    <t>Sync Entitlement Suspend</t>
  </si>
  <si>
    <t>Sync Entitlement Resume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</si>
</sst>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5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rgb="FF444444"/>
      <name val="Calibri"/>
      <family val="2"/>
      <charset val="1"/>
    </font>
    <font>
      <sz val="11"/>
      <color rgb="FF333333"/>
      <name val="Menlo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C8E9E9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3" fillId="0" borderId="1" applyNumberFormat="0" applyFill="0" applyAlignment="0" applyProtection="0"/>
    <xf numFmtId="0" fontId="4" fillId="0" borderId="3" applyNumberFormat="0" applyFill="0" applyAlignment="0" applyProtection="0"/>
    <xf numFmtId="0" fontId="2" fillId="2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5" fillId="0" borderId="0" xfId="0" applyFont="1"/>
    <xf numFmtId="0" fontId="4" fillId="0" borderId="3" xfId="2" applyAlignment="1">
      <alignment wrapText="1"/>
    </xf>
    <xf numFmtId="0" fontId="1" fillId="3" borderId="4" xfId="3" applyFont="1" applyFill="1" applyBorder="1"/>
    <xf numFmtId="0" fontId="1" fillId="3" borderId="4" xfId="3" applyFont="1" applyFill="1" applyBorder="1" applyAlignment="1">
      <alignment wrapText="1"/>
    </xf>
    <xf numFmtId="0" fontId="2" fillId="3" borderId="2" xfId="3" applyFill="1" applyBorder="1"/>
    <xf numFmtId="0" fontId="0" fillId="0" borderId="2" xfId="0" applyBorder="1"/>
    <xf numFmtId="0" fontId="2" fillId="3" borderId="2" xfId="3" applyFill="1" applyBorder="1" applyAlignment="1">
      <alignment wrapText="1"/>
    </xf>
    <xf numFmtId="0" fontId="0" fillId="0" borderId="4" xfId="0" applyBorder="1"/>
    <xf numFmtId="0" fontId="8" fillId="3" borderId="5" xfId="3" applyFont="1" applyFill="1" applyBorder="1"/>
    <xf numFmtId="0" fontId="0" fillId="0" borderId="2" xfId="3" applyFont="1" applyFill="1" applyBorder="1" applyAlignment="1">
      <alignment horizontal="center"/>
    </xf>
    <xf numFmtId="0" fontId="2" fillId="0" borderId="2" xfId="3" applyFill="1" applyBorder="1" applyAlignment="1">
      <alignment vertical="top"/>
    </xf>
    <xf numFmtId="0" fontId="2" fillId="0" borderId="9" xfId="3" applyFill="1" applyBorder="1" applyAlignment="1">
      <alignment vertical="top"/>
    </xf>
    <xf numFmtId="0" fontId="9" fillId="0" borderId="0" xfId="0" quotePrefix="1" applyFont="1"/>
    <xf numFmtId="0" fontId="2" fillId="3" borderId="10" xfId="3" applyFill="1" applyBorder="1"/>
    <xf numFmtId="0" fontId="2" fillId="0" borderId="10" xfId="3" applyFill="1" applyBorder="1" applyAlignment="1">
      <alignment vertical="top"/>
    </xf>
    <xf numFmtId="0" fontId="2" fillId="0" borderId="0" xfId="3" applyFill="1" applyBorder="1" applyAlignment="1">
      <alignment vertical="top"/>
    </xf>
    <xf numFmtId="0" fontId="10" fillId="0" borderId="0" xfId="0" applyFont="1"/>
    <xf numFmtId="0" fontId="2" fillId="3" borderId="4" xfId="3" applyFill="1" applyBorder="1"/>
    <xf numFmtId="0" fontId="2" fillId="3" borderId="11" xfId="3" applyFill="1" applyBorder="1"/>
    <xf numFmtId="0" fontId="2" fillId="3" borderId="9" xfId="3" applyFill="1" applyBorder="1"/>
    <xf numFmtId="0" fontId="2" fillId="0" borderId="12" xfId="3" applyFill="1" applyBorder="1" applyAlignment="1">
      <alignment vertical="top"/>
    </xf>
    <xf numFmtId="0" fontId="5" fillId="3" borderId="2" xfId="3" applyFont="1" applyFill="1" applyBorder="1"/>
    <xf numFmtId="0" fontId="11" fillId="3" borderId="2" xfId="3" applyFont="1" applyFill="1" applyBorder="1"/>
    <xf numFmtId="0" fontId="11" fillId="3" borderId="2" xfId="3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2" fillId="3" borderId="2" xfId="3" applyFont="1" applyFill="1" applyBorder="1" applyAlignment="1">
      <alignment vertical="center"/>
    </xf>
    <xf numFmtId="0" fontId="12" fillId="3" borderId="2" xfId="3" applyFont="1" applyFill="1" applyBorder="1"/>
    <xf numFmtId="0" fontId="2" fillId="0" borderId="9" xfId="3" applyFill="1" applyBorder="1" applyAlignment="1">
      <alignment horizontal="center" vertical="top"/>
    </xf>
    <xf numFmtId="0" fontId="13" fillId="3" borderId="2" xfId="1" applyFont="1" applyFill="1" applyBorder="1" applyAlignment="1">
      <alignment vertical="top" wrapText="1"/>
    </xf>
    <xf numFmtId="0" fontId="13" fillId="3" borderId="13" xfId="1" applyFont="1" applyFill="1" applyBorder="1" applyAlignment="1">
      <alignment vertical="top" wrapText="1"/>
    </xf>
    <xf numFmtId="0" fontId="2" fillId="0" borderId="14" xfId="3" applyFill="1" applyBorder="1" applyAlignment="1">
      <alignment vertical="center" wrapText="1"/>
    </xf>
    <xf numFmtId="0" fontId="2" fillId="0" borderId="4" xfId="3" applyFill="1" applyBorder="1" applyAlignment="1">
      <alignment horizontal="left" vertical="center" wrapText="1"/>
    </xf>
    <xf numFmtId="0" fontId="2" fillId="0" borderId="4" xfId="3" applyFill="1" applyBorder="1" applyAlignment="1">
      <alignment horizontal="center" vertical="center" wrapText="1"/>
    </xf>
    <xf numFmtId="0" fontId="2" fillId="0" borderId="4" xfId="3" applyFill="1" applyBorder="1" applyAlignment="1">
      <alignment vertical="top" wrapText="1"/>
    </xf>
    <xf numFmtId="0" fontId="2" fillId="0" borderId="4" xfId="3" applyFill="1" applyBorder="1" applyAlignment="1">
      <alignment horizontal="center" vertical="top"/>
    </xf>
    <xf numFmtId="0" fontId="2" fillId="2" borderId="2" xfId="3" applyBorder="1" applyAlignment="1">
      <alignment horizontal="center" vertical="center" wrapText="1"/>
    </xf>
    <xf numFmtId="0" fontId="0" fillId="0" borderId="11" xfId="0" applyBorder="1" applyAlignment="1">
      <alignment horizontal="center" vertical="top"/>
    </xf>
    <xf numFmtId="0" fontId="0" fillId="0" borderId="2" xfId="0" applyBorder="1" applyAlignment="1">
      <alignment vertical="top"/>
    </xf>
    <xf numFmtId="0" fontId="2" fillId="0" borderId="13" xfId="3" applyFill="1" applyBorder="1" applyAlignment="1">
      <alignment vertical="top"/>
    </xf>
    <xf numFmtId="0" fontId="2" fillId="0" borderId="13" xfId="3" applyFill="1" applyBorder="1" applyAlignment="1">
      <alignment horizontal="center" vertical="center"/>
    </xf>
    <xf numFmtId="0" fontId="2" fillId="0" borderId="13" xfId="3" applyFill="1" applyBorder="1" applyAlignment="1">
      <alignment horizontal="left" vertical="top" wrapText="1"/>
    </xf>
    <xf numFmtId="0" fontId="2" fillId="0" borderId="13" xfId="3" applyFill="1" applyBorder="1" applyAlignment="1">
      <alignment horizontal="center" vertical="top"/>
    </xf>
    <xf numFmtId="0" fontId="0" fillId="0" borderId="2" xfId="0" applyBorder="1" applyAlignment="1">
      <alignment horizontal="center" vertical="center"/>
    </xf>
    <xf numFmtId="0" fontId="2" fillId="0" borderId="2" xfId="3" applyFill="1" applyBorder="1" applyAlignment="1">
      <alignment vertical="top" wrapText="1"/>
    </xf>
    <xf numFmtId="0" fontId="2" fillId="4" borderId="2" xfId="3" applyFill="1" applyBorder="1" applyAlignment="1">
      <alignment vertical="top"/>
    </xf>
    <xf numFmtId="0" fontId="2" fillId="4" borderId="2" xfId="3" applyFill="1" applyBorder="1" applyAlignment="1">
      <alignment wrapText="1"/>
    </xf>
    <xf numFmtId="0" fontId="2" fillId="4" borderId="2" xfId="3" applyFill="1" applyBorder="1"/>
    <xf numFmtId="0" fontId="2" fillId="4" borderId="2" xfId="3" applyFill="1" applyBorder="1" applyAlignment="1">
      <alignment horizontal="left" wrapText="1"/>
    </xf>
    <xf numFmtId="0" fontId="2" fillId="4" borderId="2" xfId="3" applyFill="1" applyBorder="1" applyAlignment="1">
      <alignment horizontal="left"/>
    </xf>
    <xf numFmtId="0" fontId="14" fillId="0" borderId="2" xfId="3" applyFont="1" applyFill="1" applyBorder="1" applyAlignment="1">
      <alignment vertical="top" wrapText="1"/>
    </xf>
    <xf numFmtId="0" fontId="15" fillId="0" borderId="2" xfId="0" applyFont="1" applyBorder="1" applyAlignment="1">
      <alignment vertical="center" wrapText="1"/>
    </xf>
    <xf numFmtId="0" fontId="0" fillId="0" borderId="2" xfId="3" applyFont="1" applyFill="1" applyBorder="1" applyAlignment="1">
      <alignment vertical="top" wrapText="1"/>
    </xf>
    <xf numFmtId="0" fontId="2" fillId="4" borderId="2" xfId="3" applyFill="1" applyBorder="1" applyAlignment="1">
      <alignment vertical="center" wrapText="1"/>
    </xf>
    <xf numFmtId="0" fontId="2" fillId="4" borderId="2" xfId="3" applyFill="1" applyBorder="1" applyAlignment="1">
      <alignment horizontal="left" vertical="center" wrapText="1"/>
    </xf>
    <xf numFmtId="0" fontId="2" fillId="4" borderId="2" xfId="3" applyFill="1" applyBorder="1" applyAlignment="1">
      <alignment vertical="center"/>
    </xf>
    <xf numFmtId="0" fontId="2" fillId="0" borderId="2" xfId="3" applyFill="1" applyBorder="1" applyAlignment="1">
      <alignment vertical="center"/>
    </xf>
    <xf numFmtId="0" fontId="7" fillId="0" borderId="2" xfId="3" applyFont="1" applyFill="1" applyBorder="1" applyAlignment="1">
      <alignment vertical="center" wrapText="1"/>
    </xf>
    <xf numFmtId="0" fontId="0" fillId="0" borderId="2" xfId="3" applyFont="1" applyFill="1" applyBorder="1" applyAlignment="1">
      <alignment vertical="center" wrapText="1"/>
    </xf>
    <xf numFmtId="0" fontId="2" fillId="0" borderId="15" xfId="3" applyFill="1" applyBorder="1" applyAlignment="1">
      <alignment horizontal="center" vertical="top"/>
    </xf>
    <xf numFmtId="0" fontId="2" fillId="4" borderId="13" xfId="3" applyFill="1" applyBorder="1" applyAlignment="1">
      <alignment vertical="center"/>
    </xf>
    <xf numFmtId="0" fontId="2" fillId="0" borderId="13" xfId="3" applyFill="1" applyBorder="1" applyAlignment="1">
      <alignment vertical="center"/>
    </xf>
    <xf numFmtId="0" fontId="7" fillId="0" borderId="13" xfId="3" applyFont="1" applyFill="1" applyBorder="1" applyAlignment="1">
      <alignment vertical="center" wrapText="1"/>
    </xf>
    <xf numFmtId="0" fontId="7" fillId="0" borderId="13" xfId="3" applyFont="1" applyFill="1" applyBorder="1" applyAlignment="1">
      <alignment vertical="top" wrapText="1"/>
    </xf>
    <xf numFmtId="0" fontId="2" fillId="2" borderId="13" xfId="3" applyBorder="1" applyAlignment="1">
      <alignment horizontal="center" vertical="center" wrapText="1"/>
    </xf>
    <xf numFmtId="0" fontId="0" fillId="0" borderId="13" xfId="0" applyBorder="1" applyAlignment="1">
      <alignment vertical="top"/>
    </xf>
    <xf numFmtId="0" fontId="0" fillId="0" borderId="2" xfId="0" applyBorder="1" applyAlignment="1">
      <alignment vertical="top" wrapText="1"/>
    </xf>
    <xf numFmtId="0" fontId="2" fillId="0" borderId="13" xfId="3" applyFill="1" applyBorder="1" applyAlignment="1">
      <alignment vertical="center" wrapText="1"/>
    </xf>
    <xf numFmtId="0" fontId="2" fillId="0" borderId="2" xfId="3" applyFill="1" applyBorder="1"/>
    <xf numFmtId="0" fontId="2" fillId="0" borderId="2" xfId="3" applyFill="1" applyBorder="1" applyAlignment="1">
      <alignment horizontal="center" vertical="center" wrapText="1"/>
    </xf>
    <xf numFmtId="0" fontId="2" fillId="0" borderId="2" xfId="3" applyFill="1" applyBorder="1" applyAlignment="1">
      <alignment vertical="center" wrapText="1"/>
    </xf>
    <xf numFmtId="0" fontId="0" fillId="4" borderId="2" xfId="0" applyFill="1" applyBorder="1"/>
    <xf numFmtId="0" fontId="2" fillId="4" borderId="2" xfId="3" applyNumberFormat="1" applyFill="1" applyBorder="1" applyAlignment="1">
      <alignment vertical="top"/>
    </xf>
    <xf numFmtId="0" fontId="1" fillId="3" borderId="0" xfId="3" applyFont="1" applyFill="1" applyBorder="1" applyAlignment="1">
      <alignment horizontal="left" vertical="top" wrapText="1"/>
    </xf>
    <xf numFmtId="0" fontId="1" fillId="3" borderId="2" xfId="3" applyFont="1" applyFill="1" applyBorder="1" applyAlignment="1">
      <alignment horizontal="center" vertical="top" wrapText="1"/>
    </xf>
    <xf numFmtId="0" fontId="4" fillId="0" borderId="3" xfId="2" applyFill="1" applyAlignment="1">
      <alignment horizontal="center" wrapText="1"/>
    </xf>
    <xf numFmtId="0" fontId="1" fillId="3" borderId="0" xfId="3" applyFont="1" applyFill="1" applyAlignment="1">
      <alignment horizontal="center" wrapText="1"/>
    </xf>
    <xf numFmtId="0" fontId="1" fillId="3" borderId="0" xfId="3" applyFont="1" applyFill="1" applyBorder="1" applyAlignment="1">
      <alignment horizontal="center" vertical="top" wrapText="1"/>
    </xf>
    <xf numFmtId="0" fontId="1" fillId="3" borderId="0" xfId="3" applyFont="1" applyFill="1" applyBorder="1" applyAlignment="1">
      <alignment horizontal="center" wrapText="1"/>
    </xf>
    <xf numFmtId="14" fontId="0" fillId="0" borderId="2" xfId="0" applyNumberFormat="1" applyBorder="1" applyAlignment="1">
      <alignment horizontal="center"/>
    </xf>
    <xf numFmtId="0" fontId="6" fillId="0" borderId="6" xfId="2" applyFont="1" applyFill="1" applyBorder="1" applyAlignment="1">
      <alignment horizontal="center"/>
    </xf>
    <xf numFmtId="0" fontId="6" fillId="0" borderId="7" xfId="2" applyFont="1" applyFill="1" applyBorder="1" applyAlignment="1">
      <alignment horizontal="center"/>
    </xf>
    <xf numFmtId="0" fontId="0" fillId="0" borderId="8" xfId="0" applyBorder="1"/>
    <xf numFmtId="0" fontId="2" fillId="0" borderId="2" xfId="3" applyFill="1" applyBorder="1" applyAlignment="1">
      <alignment wrapText="1"/>
    </xf>
    <xf numFmtId="0" fontId="0" fillId="0" borderId="2" xfId="0" applyBorder="1"/>
    <xf numFmtId="0" fontId="6" fillId="0" borderId="2" xfId="2" applyFont="1" applyFill="1" applyBorder="1" applyAlignment="1">
      <alignment horizontal="center" vertical="center" wrapText="1"/>
    </xf>
    <xf numFmtId="0" fontId="7" fillId="0" borderId="2" xfId="0" applyFont="1" applyBorder="1" applyAlignment="1">
      <alignment wrapText="1"/>
    </xf>
    <xf numFmtId="0" fontId="2" fillId="3" borderId="2" xfId="3" applyFill="1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6" fillId="0" borderId="4" xfId="2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3" borderId="6" xfId="3" applyFont="1" applyFill="1" applyBorder="1" applyAlignment="1">
      <alignment horizontal="left" vertical="center" wrapText="1"/>
    </xf>
    <xf numFmtId="0" fontId="0" fillId="3" borderId="7" xfId="3" applyFont="1" applyFill="1" applyBorder="1" applyAlignment="1">
      <alignment horizontal="left" vertical="center" wrapText="1"/>
    </xf>
    <xf numFmtId="0" fontId="0" fillId="3" borderId="8" xfId="3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/>
    </xf>
  </cellXfs>
  <cellStyles count="4">
    <cellStyle name="20% - Accent1" xfId="3" builtinId="30"/>
    <cellStyle name="Heading 1" xfId="2" builtinId="16"/>
    <cellStyle name="Heading 2" xfId="1" builtinId="17"/>
    <cellStyle name="Normal" xfId="0" builtinId="0"/>
  </cellStyles>
  <dxfs count="137"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80E0A7"/>
        </patternFill>
      </fill>
    </dxf>
    <dxf>
      <fill>
        <patternFill>
          <bgColor rgb="FFFF585D"/>
        </patternFill>
      </fill>
    </dxf>
    <dxf>
      <fill>
        <patternFill>
          <bgColor rgb="FFFBD87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000000"/>
      </font>
      <fill>
        <patternFill patternType="solid">
          <bgColor rgb="FFED8B00"/>
        </patternFill>
      </fill>
    </dxf>
    <dxf>
      <font>
        <color rgb="FF000000"/>
      </font>
      <fill>
        <patternFill patternType="solid">
          <bgColor rgb="FF00C7B1"/>
        </patternFill>
      </fill>
    </dxf>
    <dxf>
      <font>
        <color rgb="FF000000"/>
      </font>
      <fill>
        <patternFill patternType="solid">
          <bgColor rgb="FFFFCED7"/>
        </patternFill>
      </fill>
    </dxf>
    <dxf>
      <font>
        <color rgb="FF000000"/>
      </font>
      <fill>
        <patternFill patternType="solid">
          <bgColor rgb="FFD9E1F2"/>
        </patternFill>
      </fill>
    </dxf>
    <dxf>
      <font>
        <b val="0"/>
        <i val="0"/>
      </font>
      <fill>
        <patternFill>
          <bgColor rgb="FF00C7B1"/>
        </patternFill>
      </fill>
    </dxf>
    <dxf>
      <font>
        <b val="0"/>
        <i val="0"/>
      </font>
      <fill>
        <patternFill>
          <bgColor rgb="FFFF585D"/>
        </patternFill>
      </fill>
    </dxf>
    <dxf>
      <font>
        <b val="0"/>
        <i val="0"/>
      </font>
      <fill>
        <patternFill>
          <bgColor rgb="FFFBD872"/>
        </patternFill>
      </fill>
    </dxf>
    <dxf>
      <font>
        <b/>
        <i val="0"/>
        <color theme="0"/>
      </font>
      <fill>
        <patternFill>
          <bgColor rgb="FF75787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'Tests Summary'!$D$29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C7B1"/>
            </a:solidFill>
            <a:ln>
              <a:noFill/>
            </a:ln>
            <a:effectLst/>
          </c:spPr>
          <c:invertIfNegative val="0"/>
          <c:cat>
            <c:strRef>
              <c:f>'Tests Summary'!$B$30:$B$42</c:f>
              <c:strCache>
                <c:ptCount val="13"/>
                <c:pt idx="0">
                  <c:v>Echo</c:v>
                </c:pt>
                <c:pt idx="1">
                  <c:v>Activate</c:v>
                </c:pt>
                <c:pt idx="2">
                  <c:v>Double Activation</c:v>
                </c:pt>
                <c:pt idx="3">
                  <c:v>Sync Reseller Product Update</c:v>
                </c:pt>
                <c:pt idx="4">
                  <c:v>Async Reseller Product Update</c:v>
                </c:pt>
                <c:pt idx="5">
                  <c:v>Sync Entitlement Cancel</c:v>
                </c:pt>
                <c:pt idx="6">
                  <c:v>Async Entitlement Cancel</c:v>
                </c:pt>
                <c:pt idx="7">
                  <c:v>Sync Entitlement Revoke</c:v>
                </c:pt>
                <c:pt idx="8">
                  <c:v>Async Entitlement Revoke</c:v>
                </c:pt>
                <c:pt idx="9">
                  <c:v>Sync Entitlement Suspend</c:v>
                </c:pt>
                <c:pt idx="10">
                  <c:v>Async Entitlement Suspend</c:v>
                </c:pt>
                <c:pt idx="11">
                  <c:v>Sync Entitlement Resume</c:v>
                </c:pt>
                <c:pt idx="12">
                  <c:v>Async Entitlement Resume</c:v>
                </c:pt>
              </c:strCache>
            </c:strRef>
          </c:cat>
          <c:val>
            <c:numRef>
              <c:f>'Tests Summary'!$D$30:$D$41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7-0F4D-BFE9-45F78480CD6A}"/>
            </c:ext>
          </c:extLst>
        </c:ser>
        <c:ser>
          <c:idx val="1"/>
          <c:order val="1"/>
          <c:tx>
            <c:strRef>
              <c:f>'Tests Summary'!$E$29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585D"/>
            </a:solidFill>
            <a:ln>
              <a:noFill/>
            </a:ln>
            <a:effectLst/>
          </c:spPr>
          <c:invertIfNegative val="0"/>
          <c:cat>
            <c:strRef>
              <c:f>'Tests Summary'!$B$30:$B$42</c:f>
              <c:strCache>
                <c:ptCount val="13"/>
                <c:pt idx="0">
                  <c:v>Echo</c:v>
                </c:pt>
                <c:pt idx="1">
                  <c:v>Activate</c:v>
                </c:pt>
                <c:pt idx="2">
                  <c:v>Double Activation</c:v>
                </c:pt>
                <c:pt idx="3">
                  <c:v>Sync Reseller Product Update</c:v>
                </c:pt>
                <c:pt idx="4">
                  <c:v>Async Reseller Product Update</c:v>
                </c:pt>
                <c:pt idx="5">
                  <c:v>Sync Entitlement Cancel</c:v>
                </c:pt>
                <c:pt idx="6">
                  <c:v>Async Entitlement Cancel</c:v>
                </c:pt>
                <c:pt idx="7">
                  <c:v>Sync Entitlement Revoke</c:v>
                </c:pt>
                <c:pt idx="8">
                  <c:v>Async Entitlement Revoke</c:v>
                </c:pt>
                <c:pt idx="9">
                  <c:v>Sync Entitlement Suspend</c:v>
                </c:pt>
                <c:pt idx="10">
                  <c:v>Async Entitlement Suspend</c:v>
                </c:pt>
                <c:pt idx="11">
                  <c:v>Sync Entitlement Resume</c:v>
                </c:pt>
                <c:pt idx="12">
                  <c:v>Async Entitlement Resume</c:v>
                </c:pt>
              </c:strCache>
            </c:strRef>
          </c:cat>
          <c:val>
            <c:numRef>
              <c:f>'Tests Summary'!$E$30:$E$41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B7-0F4D-BFE9-45F78480CD6A}"/>
            </c:ext>
          </c:extLst>
        </c:ser>
        <c:ser>
          <c:idx val="2"/>
          <c:order val="2"/>
          <c:tx>
            <c:strRef>
              <c:f>'Tests Summary'!$F$29</c:f>
              <c:strCache>
                <c:ptCount val="1"/>
                <c:pt idx="0">
                  <c:v>NOT RUN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'Tests Summary'!$B$30:$B$42</c:f>
              <c:strCache>
                <c:ptCount val="13"/>
                <c:pt idx="0">
                  <c:v>Echo</c:v>
                </c:pt>
                <c:pt idx="1">
                  <c:v>Activate</c:v>
                </c:pt>
                <c:pt idx="2">
                  <c:v>Double Activation</c:v>
                </c:pt>
                <c:pt idx="3">
                  <c:v>Sync Reseller Product Update</c:v>
                </c:pt>
                <c:pt idx="4">
                  <c:v>Async Reseller Product Update</c:v>
                </c:pt>
                <c:pt idx="5">
                  <c:v>Sync Entitlement Cancel</c:v>
                </c:pt>
                <c:pt idx="6">
                  <c:v>Async Entitlement Cancel</c:v>
                </c:pt>
                <c:pt idx="7">
                  <c:v>Sync Entitlement Revoke</c:v>
                </c:pt>
                <c:pt idx="8">
                  <c:v>Async Entitlement Revoke</c:v>
                </c:pt>
                <c:pt idx="9">
                  <c:v>Sync Entitlement Suspend</c:v>
                </c:pt>
                <c:pt idx="10">
                  <c:v>Async Entitlement Suspend</c:v>
                </c:pt>
                <c:pt idx="11">
                  <c:v>Sync Entitlement Resume</c:v>
                </c:pt>
                <c:pt idx="12">
                  <c:v>Async Entitlement Resume</c:v>
                </c:pt>
              </c:strCache>
            </c:strRef>
          </c:cat>
          <c:val>
            <c:numRef>
              <c:f>'Tests Summary'!$F$30:$F$41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B7-0F4D-BFE9-45F78480C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900783392"/>
        <c:axId val="1076295424"/>
      </c:barChart>
      <c:catAx>
        <c:axId val="9007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295424"/>
        <c:crosses val="autoZero"/>
        <c:auto val="1"/>
        <c:lblAlgn val="ctr"/>
        <c:lblOffset val="100"/>
        <c:noMultiLvlLbl val="0"/>
      </c:catAx>
      <c:valAx>
        <c:axId val="1076295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8339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  <a:alpha val="10000"/>
      </a:schemeClr>
    </a:solidFill>
    <a:ln w="9525" cap="flat" cmpd="sng" algn="ctr">
      <a:solidFill>
        <a:srgbClr val="C8E9E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1512887</xdr:colOff>
      <xdr:row>1</xdr:row>
      <xdr:rowOff>142874</xdr:rowOff>
    </xdr:from>
    <xdr:to>
      <xdr:col>12</xdr:col>
      <xdr:colOff>123824</xdr:colOff>
      <xdr:row>8</xdr:row>
      <xdr:rowOff>2104</xdr:rowOff>
    </xdr:to>
    <xdr:pic>
      <xdr:nvPicPr>
        <xdr:cNvPr id="2" name="Picture 1" descr="Home - Bango">
          <a:extLst>
            <a:ext uri="{FF2B5EF4-FFF2-40B4-BE49-F238E27FC236}">
              <a16:creationId xmlns:a16="http://schemas.microsoft.com/office/drawing/2014/main" id="{DBECA437-1733-704E-9128-5F630AF75E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7287" y="333374"/>
          <a:ext cx="4821237" cy="1472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968375</xdr:colOff>
      <xdr:row>22</xdr:row>
      <xdr:rowOff>88900</xdr:rowOff>
    </xdr:from>
    <xdr:to>
      <xdr:col>15</xdr:col>
      <xdr:colOff>617537</xdr:colOff>
      <xdr:row>42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910251-F024-3A4E-848A-88283C21BA12}"/>
            </a:ext>
            <a:ext uri="{147F2762-F138-4A5C-976F-8EAC2B608ADB}">
              <a16:predDERef xmlns:a16="http://schemas.microsoft.com/office/drawing/2014/main" pred="{A4618644-8888-41B6-4189-294272047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sha Belaguly [GBR]" id="{985E0B63-D87D-6B46-915A-E781AFBE1DB1}" userId="Asha.Belaguly@bango.com" providerId="PeoplePicker"/>
  <person displayName="Tiago Heitor [PRT]" id="{2F40FCC5-35BA-46EB-A3D0-4A4CAA321B5A}" userId="S::Tiago@bango.com::53928d33-06cd-4d9b-967c-311814527209" providerId="AD"/>
  <person displayName="Tiago Heitor [PRT]" id="{8BD399CD-8E48-5344-BAFB-0C70A6F514B8}" userId="S::tiago@bango.com::53928d33-06cd-4d9b-967c-311814527209" providerId="AD"/>
  <person displayName="Sabitha Reddy [GBR]" id="{CDF5F707-71C1-49D1-B5DD-DE22D9B67A9A}" userId="S::Sabitha@bango.com::1c6c5459-1a00-43bf-b296-bfc5659963d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07-12T16:00:18.58" personId="{CDF5F707-71C1-49D1-B5DD-DE22D9B67A9A}" id="{63CBB83A-B0B8-46B4-86EB-4F1C08442ACD}">
    <text>Use Bango resale API looks good. Using postman interchangeably can be confusing. Also we do not want reseller to use postman collection to do their self-cert. Probably we can use "using Bango resale API" consistently</text>
  </threadedComment>
  <threadedComment ref="B2" dT="2023-07-13T09:58:00.35" personId="{2F40FCC5-35BA-46EB-A3D0-4A4CAA321B5A}" id="{3D605728-1C4A-6740-86E3-A1DF7DBCFA52}" parentId="{63CBB83A-B0B8-46B4-86EB-4F1C08442ACD}">
    <text>Do for other tabs as well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" dT="2023-07-12T15:58:37.96" personId="{CDF5F707-71C1-49D1-B5DD-DE22D9B67A9A}" id="{AB0AA377-9D2E-B44C-A547-44D28B3C1BC3}">
    <text>Do we need this test case?</text>
  </threadedComment>
  <threadedComment ref="H5" dT="2023-04-28T11:31:53.69" personId="{8BD399CD-8E48-5344-BAFB-0C70A6F514B8}" id="{28EE9EBE-D890-CC47-BC24-EF2B09B6AD2B}">
    <text>@Asha Belaguly [GBR] Can you also double check this with Sarah? Most likely this is outdated or Bango Music as a non expected behaviour.
IF required I will follow up with Product</text>
    <mentions>
      <mention mentionpersonId="{985E0B63-D87D-6B46-915A-E781AFBE1DB1}" mentionId="{4495EDA3-DA69-8043-B3DA-2C8309CCBF0A}" startIndex="0" length="20"/>
    </mentions>
  </threadedComment>
  <threadedComment ref="H5" dT="2023-07-05T10:56:12.29" personId="{8BD399CD-8E48-5344-BAFB-0C70A6F514B8}" id="{C615541B-C267-DA48-ACE2-4B186C6956EC}" parentId="{28EE9EBE-D890-CC47-BC24-EF2B09B6AD2B}">
    <text xml:space="preserve">Will assume idem potency </text>
  </threadedComment>
  <threadedComment ref="H5" dT="2023-07-13T10:02:34.02" personId="{2F40FCC5-35BA-46EB-A3D0-4A4CAA321B5A}" id="{EF5C7131-D516-A04E-8C75-CB169F56F2F5}" parentId="{28EE9EBE-D890-CC47-BC24-EF2B09B6AD2B}">
    <text>Bango Music created another entitlement, Sabitha mentions it provides an error state</text>
  </threadedComment>
  <threadedComment ref="H5" dT="2023-07-13T10:02:55.29" personId="{2F40FCC5-35BA-46EB-A3D0-4A4CAA321B5A}" id="{C5794DE5-A172-4F4A-A181-1174BE3F34E5}" parentId="{28EE9EBE-D890-CC47-BC24-EF2B09B6AD2B}">
    <text>Sabitha, we should not capture this on self cert because this is unhappy path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3-04-28T13:31:20.47" personId="{8BD399CD-8E48-5344-BAFB-0C70A6F514B8}" id="{F4128067-974A-EE47-B477-BC8B19F41D5B}" done="1">
    <text>For awareness I removed the query requests, after updates. I’ll also update Postman Accordingly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7" dT="2023-04-28T13:43:27.96" personId="{8BD399CD-8E48-5344-BAFB-0C70A6F514B8}" id="{08913430-D8A4-B143-8142-EDF0E80898B0}">
    <text>How will a reseller act as a merchant?</text>
  </threadedComment>
  <threadedComment ref="B7" dT="2023-04-28T13:53:15.88" personId="{8BD399CD-8E48-5344-BAFB-0C70A6F514B8}" id="{0DC77B16-0DC4-F243-AA3C-67EE179F8023}" parentId="{08913430-D8A4-B143-8142-EDF0E80898B0}">
    <text xml:space="preserve">Think here the objective is to make the reseller aware they will receive a 202 and after a 200 but their behaviour will be the same PATCH entitlement </text>
  </threadedComment>
  <threadedComment ref="B7" dT="2023-04-28T13:55:45.88" personId="{8BD399CD-8E48-5344-BAFB-0C70A6F514B8}" id="{3AD37377-037C-2342-B930-B15CC15EEDB2}" parentId="{08913430-D8A4-B143-8142-EDF0E80898B0}">
    <text>This will be same thing for Cancel / revoke ..</text>
  </threadedComment>
  <threadedComment ref="B7" dT="2023-07-12T16:06:34.98" personId="{CDF5F707-71C1-49D1-B5DD-DE22D9B67A9A}" id="{16DEB580-BC7E-45BB-9D75-15559ED771E6}" parentId="{08913430-D8A4-B143-8142-EDF0E80898B0}">
    <text>Reseller need not act as a merchant to do this...it is BANGO simulator which needs to act as merchant….to test async, we can request ops to set test reseller to Bango configuration as 2 step for update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6" dT="2023-07-12T16:12:05.61" personId="{CDF5F707-71C1-49D1-B5DD-DE22D9B67A9A}" id="{4AF7580A-97BE-43CE-B901-708724E4F3DB}">
    <text>Added status in this cell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7" dT="2023-07-12T16:12:40.55" personId="{CDF5F707-71C1-49D1-B5DD-DE22D9B67A9A}" id="{262EBBA6-1CA9-40C1-8A95-D82346CB53E3}">
    <text>Lets add "Use the Bango Resale API to query the entitlement created" here ...so that they can check the current status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14993-0182-5B44-AE49-6B2FB41695F8}">
  <sheetPr codeName="Sheet1"/>
  <dimension ref="A1:B21"/>
  <sheetViews>
    <sheetView topLeftCell="A14" zoomScale="116" workbookViewId="0">
      <selection activeCell="G14" sqref="G14"/>
    </sheetView>
  </sheetViews>
  <sheetFormatPr baseColWidth="10" defaultColWidth="8.83203125" defaultRowHeight="15" x14ac:dyDescent="0.2"/>
  <cols>
    <col min="1" max="1" width="80.5" style="1" customWidth="1"/>
    <col min="2" max="2" width="11.5" bestFit="1" customWidth="1"/>
    <col min="7" max="7" width="28.1640625" bestFit="1" customWidth="1"/>
    <col min="8" max="8" width="9" bestFit="1" customWidth="1"/>
    <col min="10" max="10" width="15.5" bestFit="1" customWidth="1"/>
  </cols>
  <sheetData>
    <row r="1" spans="1:2" ht="21" thickBot="1" x14ac:dyDescent="0.3">
      <c r="A1" s="78" t="s">
        <v>0</v>
      </c>
      <c r="B1" s="78"/>
    </row>
    <row r="2" spans="1:2" ht="66" customHeight="1" thickTop="1" x14ac:dyDescent="0.2">
      <c r="A2" s="77" t="s">
        <v>1</v>
      </c>
      <c r="B2" s="77"/>
    </row>
    <row r="3" spans="1:2" ht="21" thickBot="1" x14ac:dyDescent="0.3">
      <c r="A3" s="78" t="s">
        <v>2</v>
      </c>
      <c r="B3" s="78"/>
    </row>
    <row r="4" spans="1:2" ht="80" customHeight="1" thickTop="1" x14ac:dyDescent="0.2">
      <c r="A4" s="77" t="s">
        <v>3</v>
      </c>
      <c r="B4" s="77"/>
    </row>
    <row r="5" spans="1:2" ht="21" thickBot="1" x14ac:dyDescent="0.3">
      <c r="A5" s="78" t="s">
        <v>4</v>
      </c>
      <c r="B5" s="78"/>
    </row>
    <row r="6" spans="1:2" ht="17" thickTop="1" x14ac:dyDescent="0.2">
      <c r="A6" s="76" t="s">
        <v>5</v>
      </c>
      <c r="B6" s="76"/>
    </row>
    <row r="7" spans="1:2" ht="16" x14ac:dyDescent="0.2">
      <c r="A7" s="76" t="s">
        <v>6</v>
      </c>
      <c r="B7" s="76"/>
    </row>
    <row r="8" spans="1:2" ht="16" x14ac:dyDescent="0.2">
      <c r="A8" s="76" t="s">
        <v>7</v>
      </c>
      <c r="B8" s="76"/>
    </row>
    <row r="9" spans="1:2" ht="26" customHeight="1" x14ac:dyDescent="0.2">
      <c r="A9" s="76" t="s">
        <v>8</v>
      </c>
      <c r="B9" s="76"/>
    </row>
    <row r="10" spans="1:2" ht="22" customHeight="1" thickBot="1" x14ac:dyDescent="0.3">
      <c r="A10" s="78" t="s">
        <v>9</v>
      </c>
      <c r="B10" s="78"/>
    </row>
    <row r="11" spans="1:2" ht="17" thickTop="1" x14ac:dyDescent="0.2">
      <c r="A11" s="76" t="s">
        <v>10</v>
      </c>
      <c r="B11" s="76"/>
    </row>
    <row r="12" spans="1:2" ht="16" x14ac:dyDescent="0.2">
      <c r="A12" s="76" t="s">
        <v>11</v>
      </c>
      <c r="B12" s="76"/>
    </row>
    <row r="13" spans="1:2" ht="33" customHeight="1" x14ac:dyDescent="0.2">
      <c r="A13" s="76" t="s">
        <v>12</v>
      </c>
      <c r="B13" s="76"/>
    </row>
    <row r="14" spans="1:2" ht="21" thickBot="1" x14ac:dyDescent="0.3">
      <c r="A14" s="78" t="s">
        <v>13</v>
      </c>
      <c r="B14" s="78"/>
    </row>
    <row r="15" spans="1:2" ht="30" customHeight="1" thickTop="1" x14ac:dyDescent="0.2">
      <c r="A15" s="81" t="s">
        <v>14</v>
      </c>
      <c r="B15" s="81"/>
    </row>
    <row r="16" spans="1:2" ht="16" x14ac:dyDescent="0.2">
      <c r="A16" s="81" t="s">
        <v>15</v>
      </c>
      <c r="B16" s="81"/>
    </row>
    <row r="17" spans="1:2" ht="17" x14ac:dyDescent="0.2">
      <c r="A17" s="7" t="s">
        <v>16</v>
      </c>
      <c r="B17" s="6" t="s">
        <v>17</v>
      </c>
    </row>
    <row r="18" spans="1:2" ht="17" x14ac:dyDescent="0.2">
      <c r="A18" s="7" t="s">
        <v>18</v>
      </c>
      <c r="B18" s="6" t="s">
        <v>19</v>
      </c>
    </row>
    <row r="19" spans="1:2" ht="33.75" customHeight="1" x14ac:dyDescent="0.2">
      <c r="A19" s="80" t="s">
        <v>20</v>
      </c>
      <c r="B19" s="80"/>
    </row>
    <row r="20" spans="1:2" ht="22" thickBot="1" x14ac:dyDescent="0.3">
      <c r="A20" s="5" t="s">
        <v>50</v>
      </c>
    </row>
    <row r="21" spans="1:2" ht="56" customHeight="1" thickTop="1" x14ac:dyDescent="0.2">
      <c r="A21" s="79" t="s">
        <v>51</v>
      </c>
      <c r="B21" s="79"/>
    </row>
  </sheetData>
  <mergeCells count="18">
    <mergeCell ref="A21:B21"/>
    <mergeCell ref="A19:B19"/>
    <mergeCell ref="A8:B8"/>
    <mergeCell ref="A9:B9"/>
    <mergeCell ref="A14:B14"/>
    <mergeCell ref="A13:B13"/>
    <mergeCell ref="A15:B15"/>
    <mergeCell ref="A16:B16"/>
    <mergeCell ref="A10:B10"/>
    <mergeCell ref="A11:B11"/>
    <mergeCell ref="A12:B12"/>
    <mergeCell ref="A6:B6"/>
    <mergeCell ref="A7:B7"/>
    <mergeCell ref="A2:B2"/>
    <mergeCell ref="A1:B1"/>
    <mergeCell ref="A4:B4"/>
    <mergeCell ref="A3:B3"/>
    <mergeCell ref="A5:B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90251-294E-7F47-8690-EA7476B1E042}">
  <sheetPr codeName="Sheet2"/>
  <dimension ref="B2:H99"/>
  <sheetViews>
    <sheetView showGridLines="0" tabSelected="1" topLeftCell="A9" workbookViewId="0">
      <selection activeCell="E24" sqref="E24"/>
    </sheetView>
  </sheetViews>
  <sheetFormatPr baseColWidth="10" defaultColWidth="8.83203125" defaultRowHeight="15" x14ac:dyDescent="0.2"/>
  <cols>
    <col min="1" max="1" width="3.33203125" customWidth="1"/>
    <col min="2" max="2" width="48.6640625" customWidth="1"/>
    <col min="3" max="3" width="22.83203125" style="1" bestFit="1" customWidth="1"/>
    <col min="4" max="4" width="20.33203125" customWidth="1"/>
    <col min="5" max="5" width="13.6640625" customWidth="1"/>
    <col min="6" max="6" width="11.6640625" customWidth="1"/>
    <col min="7" max="7" width="8.1640625" customWidth="1"/>
    <col min="8" max="8" width="40.1640625" customWidth="1"/>
    <col min="9" max="9" width="10.1640625" customWidth="1"/>
    <col min="10" max="10" width="15.1640625" customWidth="1"/>
    <col min="11" max="11" width="6.33203125" customWidth="1"/>
    <col min="12" max="12" width="9.6640625" customWidth="1"/>
  </cols>
  <sheetData>
    <row r="2" spans="2:8" ht="20" x14ac:dyDescent="0.25">
      <c r="B2" s="83" t="s">
        <v>21</v>
      </c>
      <c r="C2" s="84"/>
      <c r="D2" s="85"/>
    </row>
    <row r="3" spans="2:8" x14ac:dyDescent="0.2">
      <c r="B3" s="8" t="s">
        <v>81</v>
      </c>
      <c r="C3" s="86"/>
      <c r="D3" s="87"/>
    </row>
    <row r="4" spans="2:8" x14ac:dyDescent="0.2">
      <c r="B4" s="8" t="s">
        <v>22</v>
      </c>
      <c r="C4" s="86"/>
      <c r="D4" s="87"/>
    </row>
    <row r="5" spans="2:8" x14ac:dyDescent="0.2">
      <c r="B5" s="8" t="s">
        <v>23</v>
      </c>
      <c r="C5" s="86"/>
      <c r="D5" s="87"/>
    </row>
    <row r="6" spans="2:8" ht="32" x14ac:dyDescent="0.2">
      <c r="B6" s="10" t="s">
        <v>82</v>
      </c>
      <c r="C6" s="86"/>
      <c r="D6" s="87"/>
    </row>
    <row r="8" spans="2:8" x14ac:dyDescent="0.2">
      <c r="B8" s="88" t="s">
        <v>52</v>
      </c>
      <c r="C8" s="89"/>
      <c r="D8" s="89"/>
    </row>
    <row r="9" spans="2:8" ht="33" customHeight="1" x14ac:dyDescent="0.2">
      <c r="B9" s="90" t="s">
        <v>83</v>
      </c>
      <c r="C9" s="91"/>
      <c r="D9" s="91"/>
    </row>
    <row r="10" spans="2:8" x14ac:dyDescent="0.2">
      <c r="C10"/>
    </row>
    <row r="11" spans="2:8" ht="23" customHeight="1" x14ac:dyDescent="0.2">
      <c r="B11" s="92" t="s">
        <v>53</v>
      </c>
      <c r="C11" s="93"/>
      <c r="D11" s="93"/>
      <c r="E11" s="11"/>
      <c r="H11" s="1"/>
    </row>
    <row r="12" spans="2:8" x14ac:dyDescent="0.2">
      <c r="B12" s="12" t="s">
        <v>54</v>
      </c>
      <c r="C12" s="12" t="s">
        <v>24</v>
      </c>
      <c r="D12" s="12" t="s">
        <v>25</v>
      </c>
      <c r="E12" s="12" t="s">
        <v>55</v>
      </c>
      <c r="G12" s="1"/>
    </row>
    <row r="13" spans="2:8" x14ac:dyDescent="0.2">
      <c r="B13" s="8" t="s">
        <v>26</v>
      </c>
      <c r="C13" s="13" t="str">
        <f>IF( 'Tests Summary'!E13="NO", "NOT IN SCOPE", IF('Tests Summary'!E30&gt;0,"Failed", IF('Tests Summary'!D30&gt;0,"PASSED","NOT RUN")))</f>
        <v>NOT RUN</v>
      </c>
      <c r="D13" s="14"/>
      <c r="E13" s="31" t="s">
        <v>56</v>
      </c>
      <c r="F13" s="16"/>
      <c r="G13" s="1"/>
    </row>
    <row r="14" spans="2:8" x14ac:dyDescent="0.2">
      <c r="B14" s="17" t="s">
        <v>57</v>
      </c>
      <c r="C14" s="13" t="str">
        <f>IF( 'Tests Summary'!E14="NO", "NOT IN SCOPE", IF('Tests Summary'!E31&gt;0,"Failed", IF('Tests Summary'!D31&gt;0,"PASSED","NOT RUN")))</f>
        <v>NOT RUN</v>
      </c>
      <c r="D14" s="18"/>
      <c r="E14" s="31" t="s">
        <v>56</v>
      </c>
      <c r="F14" s="19"/>
      <c r="G14" s="20"/>
    </row>
    <row r="15" spans="2:8" x14ac:dyDescent="0.2">
      <c r="B15" s="17" t="s">
        <v>27</v>
      </c>
      <c r="C15" s="13" t="str">
        <f>IF( 'Tests Summary'!E15="NO", "NOT IN SCOPE", IF('Tests Summary'!E32&gt;0,"Failed", IF('Tests Summary'!D32&gt;0,"PASSED","NOT RUN")))</f>
        <v>NOT RUN</v>
      </c>
      <c r="D15" s="24"/>
      <c r="E15" s="31" t="s">
        <v>56</v>
      </c>
      <c r="F15" s="19"/>
      <c r="G15" s="20"/>
    </row>
    <row r="16" spans="2:8" x14ac:dyDescent="0.2">
      <c r="B16" s="21" t="s">
        <v>35</v>
      </c>
      <c r="C16" s="13" t="str">
        <f>IF( 'Tests Summary'!E16="NO", "NOT IN SCOPE", IF('Tests Summary'!E33&gt;0,"Failed", IF('Tests Summary'!D33&gt;0,"PASSED","NOT RUN")))</f>
        <v>NOT RUN</v>
      </c>
      <c r="D16" s="15"/>
      <c r="E16" s="31" t="s">
        <v>56</v>
      </c>
      <c r="F16" s="16"/>
      <c r="G16" s="1"/>
    </row>
    <row r="17" spans="2:7" x14ac:dyDescent="0.2">
      <c r="B17" s="22" t="s">
        <v>36</v>
      </c>
      <c r="C17" s="13" t="str">
        <f>IF( 'Tests Summary'!E17="NO", "NOT IN SCOPE", IF('Tests Summary'!E34&gt;0,"Failed", IF('Tests Summary'!D34&gt;0,"PASSED","NOT RUN")))</f>
        <v>NOT RUN</v>
      </c>
      <c r="D17" s="14"/>
      <c r="E17" s="31" t="s">
        <v>56</v>
      </c>
      <c r="F17" s="16"/>
      <c r="G17" s="1"/>
    </row>
    <row r="18" spans="2:7" x14ac:dyDescent="0.2">
      <c r="B18" s="23" t="s">
        <v>37</v>
      </c>
      <c r="C18" s="13" t="str">
        <f>IF( 'Tests Summary'!E18="NO", "NOT IN SCOPE", IF('Tests Summary'!E35&gt;0,"Failed", IF('Tests Summary'!D35&gt;0,"PASSED","NOT RUN")))</f>
        <v>NOT RUN</v>
      </c>
      <c r="D18" s="15"/>
      <c r="E18" s="31" t="s">
        <v>56</v>
      </c>
      <c r="F18" s="16"/>
      <c r="G18" s="1"/>
    </row>
    <row r="19" spans="2:7" x14ac:dyDescent="0.2">
      <c r="B19" s="23" t="s">
        <v>39</v>
      </c>
      <c r="C19" s="13" t="str">
        <f>IF( 'Tests Summary'!E19="NO", "NOT IN SCOPE", IF('Tests Summary'!E36&gt;0,"Failed", IF('Tests Summary'!D36&gt;0,"PASSED","NOT RUN")))</f>
        <v>NOT RUN</v>
      </c>
      <c r="D19" s="14"/>
      <c r="E19" s="31" t="s">
        <v>56</v>
      </c>
      <c r="F19" s="16"/>
      <c r="G19" s="1"/>
    </row>
    <row r="20" spans="2:7" x14ac:dyDescent="0.2">
      <c r="B20" s="22" t="s">
        <v>38</v>
      </c>
      <c r="C20" s="13" t="str">
        <f>IF( 'Tests Summary'!E20="NO", "NOT IN SCOPE", IF('Tests Summary'!E37&gt;0,"Failed", IF('Tests Summary'!D37&gt;0,"PASSED","NOT RUN")))</f>
        <v>NOT RUN</v>
      </c>
      <c r="D20" s="14"/>
      <c r="E20" s="31" t="s">
        <v>56</v>
      </c>
      <c r="F20" s="16"/>
      <c r="G20" s="1"/>
    </row>
    <row r="21" spans="2:7" x14ac:dyDescent="0.2">
      <c r="B21" s="22" t="s">
        <v>40</v>
      </c>
      <c r="C21" s="13" t="str">
        <f>IF( 'Tests Summary'!E21="NO", "NOT IN SCOPE", IF('Tests Summary'!E38&gt;0,"Failed", IF('Tests Summary'!D38&gt;0,"PASSED","NOT RUN")))</f>
        <v>NOT RUN</v>
      </c>
      <c r="D21" s="18"/>
      <c r="E21" s="31" t="s">
        <v>56</v>
      </c>
      <c r="F21" s="16"/>
      <c r="G21" s="1"/>
    </row>
    <row r="22" spans="2:7" x14ac:dyDescent="0.2">
      <c r="B22" s="25" t="s">
        <v>130</v>
      </c>
      <c r="C22" s="13" t="str">
        <f>IF( 'Tests Summary'!E22="NO", "NOT IN SCOPE", IF('Tests Summary'!E39&gt;0,"Failed", IF('Tests Summary'!D39&gt;0,"PASSED","NOT RUN")))</f>
        <v>NOT RUN</v>
      </c>
      <c r="D22" s="14"/>
      <c r="E22" s="31" t="s">
        <v>56</v>
      </c>
      <c r="F22" s="16"/>
      <c r="G22" s="1"/>
    </row>
    <row r="23" spans="2:7" x14ac:dyDescent="0.2">
      <c r="B23" s="25" t="s">
        <v>129</v>
      </c>
      <c r="C23" s="13" t="str">
        <f>IF( 'Tests Summary'!E23="NO", "NOT IN SCOPE", IF('Tests Summary'!E40&gt;0,"Failed", IF('Tests Summary'!D40&gt;0,"PASSED","NOT RUN")))</f>
        <v>NOT RUN</v>
      </c>
      <c r="D23" s="14"/>
      <c r="E23" s="31" t="s">
        <v>56</v>
      </c>
      <c r="F23" s="16"/>
      <c r="G23" s="1"/>
    </row>
    <row r="24" spans="2:7" x14ac:dyDescent="0.2">
      <c r="B24" s="25" t="s">
        <v>131</v>
      </c>
      <c r="C24" s="13" t="str">
        <f>IF( 'Tests Summary'!E24="NO", "NOT IN SCOPE", IF('Tests Summary'!E41&gt;0,"Failed", IF('Tests Summary'!D41&gt;0,"PASSED","NOT RUN")))</f>
        <v>NOT RUN</v>
      </c>
      <c r="D24" s="14"/>
      <c r="E24" s="62" t="s">
        <v>56</v>
      </c>
      <c r="F24" s="16"/>
      <c r="G24" s="1"/>
    </row>
    <row r="25" spans="2:7" x14ac:dyDescent="0.2">
      <c r="B25" s="25" t="s">
        <v>128</v>
      </c>
      <c r="C25" s="13" t="str">
        <f>IF( 'Tests Summary'!E25="NO", "NOT IN SCOPE", IF('Tests Summary'!E42&gt;0,"Failed", IF('Tests Summary'!D42&gt;0,"PASSED","NOT RUN")))</f>
        <v>NOT RUN</v>
      </c>
      <c r="D25" s="14"/>
      <c r="E25" s="62" t="s">
        <v>56</v>
      </c>
      <c r="F25" s="16"/>
      <c r="G25" s="1"/>
    </row>
    <row r="26" spans="2:7" x14ac:dyDescent="0.2">
      <c r="C26"/>
    </row>
    <row r="27" spans="2:7" ht="43" customHeight="1" x14ac:dyDescent="0.2">
      <c r="B27" s="94"/>
      <c r="C27" s="95"/>
      <c r="D27" s="95"/>
      <c r="E27" s="95"/>
      <c r="F27" s="96"/>
    </row>
    <row r="28" spans="2:7" x14ac:dyDescent="0.2">
      <c r="C28"/>
    </row>
    <row r="29" spans="2:7" x14ac:dyDescent="0.2">
      <c r="B29" s="26" t="s">
        <v>58</v>
      </c>
      <c r="C29" s="27" t="s">
        <v>59</v>
      </c>
      <c r="D29" s="27" t="s">
        <v>32</v>
      </c>
      <c r="E29" s="27" t="s">
        <v>34</v>
      </c>
      <c r="F29" s="27" t="s">
        <v>60</v>
      </c>
    </row>
    <row r="30" spans="2:7" x14ac:dyDescent="0.2">
      <c r="B30" s="8" t="s">
        <v>26</v>
      </c>
      <c r="C30" s="28">
        <f>COUNT(Echo!A2:A9,"*")</f>
        <v>1</v>
      </c>
      <c r="D30" s="28">
        <f>COUNTIF(Echo!$G$2:$G$994,"PASS")</f>
        <v>0</v>
      </c>
      <c r="E30" s="28">
        <f>COUNTIF(Echo!$G$2:$G$994,"FAIL")</f>
        <v>0</v>
      </c>
      <c r="F30" s="28">
        <f>COUNTIF(Echo!$G$2:$G$994,"NOT RUN")</f>
        <v>0</v>
      </c>
    </row>
    <row r="31" spans="2:7" x14ac:dyDescent="0.2">
      <c r="B31" s="17" t="s">
        <v>57</v>
      </c>
      <c r="C31" s="28">
        <f>COUNT(Activate!A2:A10,"*")</f>
        <v>5</v>
      </c>
      <c r="D31" s="28">
        <f>COUNTIF(Activate!$G$2:$G$994,"PASS")</f>
        <v>0</v>
      </c>
      <c r="E31" s="28">
        <f>COUNTIF(Activate!$G$2:$G$994,"FAIL")</f>
        <v>0</v>
      </c>
      <c r="F31" s="28">
        <f>COUNTIF(Activate!$G$2:$G$994,"NOT RUN")</f>
        <v>0</v>
      </c>
    </row>
    <row r="32" spans="2:7" x14ac:dyDescent="0.2">
      <c r="B32" s="17" t="s">
        <v>27</v>
      </c>
      <c r="C32" s="28">
        <f>COUNT('Double Activation'!A1:A32,"*")</f>
        <v>5</v>
      </c>
      <c r="D32" s="28">
        <f>COUNTIF('Double Activation'!$G$2:$G$6,"PASS")</f>
        <v>0</v>
      </c>
      <c r="E32" s="28">
        <f>COUNTIF('Double Activation'!$G$2:$G$6,"FAIL")</f>
        <v>0</v>
      </c>
      <c r="F32" s="28">
        <f>COUNTIF('Double Activation'!$G$2:$G$6,"NOT RUN")</f>
        <v>0</v>
      </c>
    </row>
    <row r="33" spans="2:6" x14ac:dyDescent="0.2">
      <c r="B33" s="21" t="s">
        <v>35</v>
      </c>
      <c r="C33" s="28">
        <f>COUNT('Sync Reseller Product Update'!A2:A33,"*")</f>
        <v>6</v>
      </c>
      <c r="D33" s="28">
        <f>COUNTIF('Sync Reseller Product Update'!$G$2:$G$977,"PASS")</f>
        <v>0</v>
      </c>
      <c r="E33" s="28">
        <f>COUNTIF('Sync Reseller Product Update'!$G$2:$G$977,"FAIL")</f>
        <v>0</v>
      </c>
      <c r="F33" s="28">
        <f>COUNTIF('Sync Reseller Product Update'!$G$2:$G$977,"NOT RUN")</f>
        <v>0</v>
      </c>
    </row>
    <row r="34" spans="2:6" x14ac:dyDescent="0.2">
      <c r="B34" s="22" t="s">
        <v>36</v>
      </c>
      <c r="C34" s="28">
        <f>COUNT('Async Reseller Product Update'!A2:A50,"*")</f>
        <v>8</v>
      </c>
      <c r="D34" s="28">
        <f>COUNTIF('Async Reseller Product Update'!$G$2:$G$994,"PASS")</f>
        <v>0</v>
      </c>
      <c r="E34" s="28">
        <f>COUNTIF('Async Reseller Product Update'!$G$2:$G$994,"FAIL")</f>
        <v>0</v>
      </c>
      <c r="F34" s="28">
        <f>COUNTIF('Async Reseller Product Update'!$G$2:$G$994,"NOT RUN")</f>
        <v>0</v>
      </c>
    </row>
    <row r="35" spans="2:6" x14ac:dyDescent="0.2">
      <c r="B35" s="23" t="s">
        <v>37</v>
      </c>
      <c r="C35" s="28">
        <f>COUNT('Sync Entitlement Cancel'!A2:A50,"*")</f>
        <v>7</v>
      </c>
      <c r="D35" s="28">
        <f>COUNTIF('Sync Entitlement Cancel'!$G$2:$G$994,"PASS")</f>
        <v>0</v>
      </c>
      <c r="E35" s="28">
        <f>COUNTIF('Sync Entitlement Cancel'!$G$2:$G$994,"FAIL")</f>
        <v>0</v>
      </c>
      <c r="F35" s="28">
        <f>COUNTIF('Sync Entitlement Cancel'!$G$2:$G$994,"NOT RUN")</f>
        <v>0</v>
      </c>
    </row>
    <row r="36" spans="2:6" x14ac:dyDescent="0.2">
      <c r="B36" s="23" t="s">
        <v>39</v>
      </c>
      <c r="C36" s="28">
        <f>COUNT('Async Entitlement Cancel'!A2:A50,"*")</f>
        <v>8</v>
      </c>
      <c r="D36" s="28">
        <f>COUNTIF('Async Entitlement Cancel'!$G$2:$G$994,"PASS")</f>
        <v>0</v>
      </c>
      <c r="E36" s="28">
        <f>COUNTIF('Async Entitlement Cancel'!$G$2:$G$994,"FAIL")</f>
        <v>0</v>
      </c>
      <c r="F36" s="28">
        <f>COUNTIF('Async Entitlement Cancel'!$G$2:$G$994,"NOT RUN")</f>
        <v>0</v>
      </c>
    </row>
    <row r="37" spans="2:6" x14ac:dyDescent="0.2">
      <c r="B37" s="22" t="s">
        <v>38</v>
      </c>
      <c r="C37" s="28">
        <f>COUNT('Sync Entitlement Revoke'!A2:A50,"*")</f>
        <v>6</v>
      </c>
      <c r="D37" s="28">
        <f>COUNTIF('Sync Entitlement Revoke'!$G$2:$G$994,"PASS")</f>
        <v>0</v>
      </c>
      <c r="E37" s="28">
        <f>COUNTIF('Sync Entitlement Revoke'!$G$2:$G$994,"FAIL")</f>
        <v>0</v>
      </c>
      <c r="F37" s="28">
        <f>COUNTIF('Sync Entitlement Revoke'!$G$2:$G$994,"NOT RUN")</f>
        <v>0</v>
      </c>
    </row>
    <row r="38" spans="2:6" x14ac:dyDescent="0.2">
      <c r="B38" s="22" t="s">
        <v>40</v>
      </c>
      <c r="C38" s="28">
        <f>COUNT('Async Entitlement Revoke'!A2:A49,"*")</f>
        <v>7</v>
      </c>
      <c r="D38" s="28">
        <f>COUNTIF('Async Entitlement Revoke'!$G$2:$G$993,"PASS")</f>
        <v>0</v>
      </c>
      <c r="E38" s="28">
        <f>COUNTIF('Async Entitlement Revoke'!$G$2:$G$993,"FAIL")</f>
        <v>0</v>
      </c>
      <c r="F38" s="28">
        <f>COUNTIF('Async Entitlement Revoke'!$G$2:$G$993,"NOT RUN")</f>
        <v>0</v>
      </c>
    </row>
    <row r="39" spans="2:6" x14ac:dyDescent="0.2">
      <c r="B39" s="25" t="s">
        <v>130</v>
      </c>
      <c r="C39" s="28">
        <f>COUNT('Sync Entitlement Suspend'!A2:A50,"*")</f>
        <v>6</v>
      </c>
      <c r="D39" s="28">
        <f>COUNTIF('Sync Entitlement Suspend'!$G$2:$G$994,"PASS")</f>
        <v>0</v>
      </c>
      <c r="E39" s="28">
        <f>COUNTIF('Sync Entitlement Suspend'!$G$2:$G$994,"FAIL")</f>
        <v>0</v>
      </c>
      <c r="F39" s="28">
        <f>COUNTIF('Sync Entitlement Suspend'!$G$2:$G$994,"NOT RUN")</f>
        <v>0</v>
      </c>
    </row>
    <row r="40" spans="2:6" x14ac:dyDescent="0.2">
      <c r="B40" s="25" t="s">
        <v>129</v>
      </c>
      <c r="C40" s="28">
        <f>COUNT('Async Entitlement Suspend'!A2:A51,"*")</f>
        <v>7</v>
      </c>
      <c r="D40" s="28">
        <f>COUNTIF('Async Entitlement Suspend'!$G$2:$G$994,"PASS")</f>
        <v>0</v>
      </c>
      <c r="E40" s="28">
        <f>COUNTIF('Async Entitlement Suspend'!$G$2:$G$994,"FAIL")</f>
        <v>0</v>
      </c>
      <c r="F40" s="28">
        <f>COUNTIF('Async Entitlement Suspend'!$G$2:$G$994,"NOT RUN")</f>
        <v>0</v>
      </c>
    </row>
    <row r="41" spans="2:6" x14ac:dyDescent="0.2">
      <c r="B41" s="25" t="s">
        <v>131</v>
      </c>
      <c r="C41" s="28">
        <f>COUNT('Sync Entitlement Resume'!A2:A20,"*")</f>
        <v>8</v>
      </c>
      <c r="D41" s="28">
        <f>COUNTIF('Sync Entitlement Resume'!$G$2:$G$995,"PASS")</f>
        <v>0</v>
      </c>
      <c r="E41" s="28">
        <f>COUNTIF('Sync Entitlement Resume'!$G$2:$G$995,"FAIL")</f>
        <v>0</v>
      </c>
      <c r="F41" s="28">
        <f>COUNTIF('Sync Entitlement Resume'!$G$2:$G$995,"NOT RUN")</f>
        <v>0</v>
      </c>
    </row>
    <row r="42" spans="2:6" x14ac:dyDescent="0.2">
      <c r="B42" s="25" t="s">
        <v>128</v>
      </c>
      <c r="C42" s="28">
        <f>COUNT('Async Entitlement Resume'!A2:A21,"*")</f>
        <v>10</v>
      </c>
      <c r="D42" s="28">
        <f>COUNTIF('Async Entitlement Resume'!$G$2:$G$995,"PASS")</f>
        <v>0</v>
      </c>
      <c r="E42" s="28">
        <f>COUNTIF('Async Entitlement Resume'!$G$2:$G$995,"FAIL")</f>
        <v>0</v>
      </c>
      <c r="F42" s="28">
        <f>COUNTIF('Async Entitlement Resume'!$G$2:$G$995,"NOT RUN")</f>
        <v>0</v>
      </c>
    </row>
    <row r="43" spans="2:6" x14ac:dyDescent="0.2">
      <c r="C43"/>
    </row>
    <row r="44" spans="2:6" x14ac:dyDescent="0.2">
      <c r="C44"/>
    </row>
    <row r="45" spans="2:6" ht="20" x14ac:dyDescent="0.25">
      <c r="B45" s="83" t="s">
        <v>61</v>
      </c>
      <c r="C45" s="84"/>
      <c r="D45" s="85"/>
    </row>
    <row r="46" spans="2:6" ht="29" customHeight="1" x14ac:dyDescent="0.2">
      <c r="B46" s="29" t="s">
        <v>62</v>
      </c>
      <c r="C46" s="97"/>
      <c r="D46" s="97"/>
    </row>
    <row r="47" spans="2:6" x14ac:dyDescent="0.2">
      <c r="B47" s="30" t="s">
        <v>48</v>
      </c>
      <c r="C47" s="82"/>
      <c r="D47" s="82"/>
    </row>
    <row r="48" spans="2:6" x14ac:dyDescent="0.2">
      <c r="C48"/>
    </row>
    <row r="49" spans="3:3" x14ac:dyDescent="0.2">
      <c r="C49"/>
    </row>
    <row r="50" spans="3:3" x14ac:dyDescent="0.2">
      <c r="C50"/>
    </row>
    <row r="51" spans="3:3" x14ac:dyDescent="0.2">
      <c r="C51"/>
    </row>
    <row r="52" spans="3:3" x14ac:dyDescent="0.2">
      <c r="C52"/>
    </row>
    <row r="53" spans="3:3" x14ac:dyDescent="0.2">
      <c r="C53"/>
    </row>
    <row r="54" spans="3:3" x14ac:dyDescent="0.2">
      <c r="C54"/>
    </row>
    <row r="61" spans="3:3" x14ac:dyDescent="0.2">
      <c r="C61"/>
    </row>
    <row r="62" spans="3:3" x14ac:dyDescent="0.2">
      <c r="C62"/>
    </row>
    <row r="63" spans="3:3" x14ac:dyDescent="0.2">
      <c r="C63"/>
    </row>
    <row r="64" spans="3:3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ht="56" customHeight="1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ht="56" customHeight="1" x14ac:dyDescent="0.2">
      <c r="C91"/>
    </row>
    <row r="92" spans="3:3" x14ac:dyDescent="0.2">
      <c r="C92"/>
    </row>
    <row r="93" spans="3:3" x14ac:dyDescent="0.2">
      <c r="C93"/>
    </row>
    <row r="94" spans="3:3" x14ac:dyDescent="0.2">
      <c r="C94"/>
    </row>
    <row r="95" spans="3:3" x14ac:dyDescent="0.2">
      <c r="C95"/>
    </row>
    <row r="96" spans="3:3" x14ac:dyDescent="0.2">
      <c r="C96"/>
    </row>
    <row r="97" spans="3:3" x14ac:dyDescent="0.2">
      <c r="C97"/>
    </row>
    <row r="98" spans="3:3" x14ac:dyDescent="0.2">
      <c r="C98"/>
    </row>
    <row r="99" spans="3:3" x14ac:dyDescent="0.2">
      <c r="C99"/>
    </row>
  </sheetData>
  <mergeCells count="12">
    <mergeCell ref="C47:D47"/>
    <mergeCell ref="B2:D2"/>
    <mergeCell ref="C3:D3"/>
    <mergeCell ref="C4:D4"/>
    <mergeCell ref="C5:D5"/>
    <mergeCell ref="C6:D6"/>
    <mergeCell ref="B8:D8"/>
    <mergeCell ref="B9:D9"/>
    <mergeCell ref="B11:D11"/>
    <mergeCell ref="B27:F27"/>
    <mergeCell ref="B45:D45"/>
    <mergeCell ref="C46:D46"/>
  </mergeCells>
  <conditionalFormatting sqref="D12:D17 C13:C21 C18:D25">
    <cfRule type="cellIs" dxfId="136" priority="2" operator="equal">
      <formula>"NOT IN SCOPE"</formula>
    </cfRule>
  </conditionalFormatting>
  <conditionalFormatting sqref="C13:C25">
    <cfRule type="cellIs" dxfId="135" priority="1" stopIfTrue="1" operator="equal">
      <formula>"NOT RUN"</formula>
    </cfRule>
    <cfRule type="cellIs" dxfId="134" priority="7" operator="equal">
      <formula>"Failed"</formula>
    </cfRule>
    <cfRule type="cellIs" dxfId="133" priority="8" stopIfTrue="1" operator="equal">
      <formula>"Passed"</formula>
    </cfRule>
  </conditionalFormatting>
  <conditionalFormatting sqref="F13 F16:F25">
    <cfRule type="cellIs" dxfId="132" priority="3" operator="equal">
      <formula>"NOT IN SCOPE"</formula>
    </cfRule>
    <cfRule type="cellIs" dxfId="131" priority="4" operator="equal">
      <formula>"Failed"</formula>
    </cfRule>
    <cfRule type="cellIs" dxfId="130" priority="5" operator="equal">
      <formula>"Passed"</formula>
    </cfRule>
    <cfRule type="cellIs" dxfId="129" priority="6" operator="equal">
      <formula>"NOT RUN"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34F837-F1B5-1249-A7FB-49CDF5EDF0A8}">
          <x14:formula1>
            <xm:f>'Data Validation'!$C$1:$C$2</xm:f>
          </x14:formula1>
          <xm:sqref>E13:E25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1263-F96D-8642-82B0-B7CE50977639}">
  <sheetPr codeName="Sheet3">
    <tabColor indexed="50"/>
  </sheetPr>
  <dimension ref="A1:I2"/>
  <sheetViews>
    <sheetView showGridLines="0" workbookViewId="0">
      <selection activeCell="F8" sqref="F8"/>
    </sheetView>
  </sheetViews>
  <sheetFormatPr baseColWidth="10" defaultColWidth="9.1640625" defaultRowHeight="15" x14ac:dyDescent="0.2"/>
  <cols>
    <col min="1" max="1" width="9.33203125" style="2" customWidth="1"/>
    <col min="2" max="2" width="71.6640625" style="2" customWidth="1"/>
    <col min="3" max="3" width="18.33203125" style="2" customWidth="1"/>
    <col min="4" max="4" width="57.83203125" style="2" customWidth="1"/>
    <col min="5" max="5" width="30.6640625" style="2" customWidth="1"/>
    <col min="6" max="6" width="18" style="2" customWidth="1"/>
    <col min="7" max="7" width="13.1640625" style="3" bestFit="1" customWidth="1"/>
    <col min="8" max="8" width="15.83203125" style="2" customWidth="1"/>
    <col min="9" max="9" width="11.1640625" style="2" customWidth="1"/>
    <col min="10" max="16384" width="9.1640625" style="2"/>
  </cols>
  <sheetData>
    <row r="1" spans="1:9" ht="36" x14ac:dyDescent="0.2">
      <c r="A1" s="32" t="s">
        <v>28</v>
      </c>
      <c r="B1" s="33" t="s">
        <v>29</v>
      </c>
      <c r="C1" s="33" t="s">
        <v>65</v>
      </c>
      <c r="D1" s="33" t="s">
        <v>66</v>
      </c>
      <c r="E1" s="33" t="s">
        <v>67</v>
      </c>
      <c r="F1" s="33" t="s">
        <v>31</v>
      </c>
      <c r="G1" s="33" t="s">
        <v>68</v>
      </c>
      <c r="H1" s="33" t="s">
        <v>69</v>
      </c>
      <c r="I1" s="33" t="s">
        <v>70</v>
      </c>
    </row>
    <row r="2" spans="1:9" ht="112" x14ac:dyDescent="0.2">
      <c r="A2" s="34">
        <v>1</v>
      </c>
      <c r="B2" s="35" t="s">
        <v>41</v>
      </c>
      <c r="C2" s="36" t="s">
        <v>71</v>
      </c>
      <c r="D2" s="37" t="s">
        <v>72</v>
      </c>
      <c r="E2" s="37"/>
      <c r="F2" s="38"/>
      <c r="G2" s="39"/>
      <c r="H2" s="40"/>
      <c r="I2" s="41"/>
    </row>
  </sheetData>
  <conditionalFormatting sqref="G1">
    <cfRule type="cellIs" dxfId="128" priority="7" operator="equal">
      <formula>"NO RUN"</formula>
    </cfRule>
    <cfRule type="cellIs" dxfId="127" priority="8" operator="equal">
      <formula>"FAIL"</formula>
    </cfRule>
    <cfRule type="cellIs" dxfId="126" priority="9" operator="equal">
      <formula>"PASS"</formula>
    </cfRule>
  </conditionalFormatting>
  <conditionalFormatting sqref="G3:G1048576">
    <cfRule type="cellIs" dxfId="125" priority="10" operator="equal">
      <formula>"NOT RUN"</formula>
    </cfRule>
    <cfRule type="cellIs" dxfId="124" priority="11" operator="equal">
      <formula>"FAIL"</formula>
    </cfRule>
    <cfRule type="cellIs" dxfId="123" priority="12" operator="equal">
      <formula>"PASS"</formula>
    </cfRule>
  </conditionalFormatting>
  <conditionalFormatting sqref="G2">
    <cfRule type="cellIs" dxfId="122" priority="1" operator="equal">
      <formula>"NOT RUN"</formula>
    </cfRule>
    <cfRule type="cellIs" dxfId="121" priority="2" operator="equal">
      <formula>"FAIL"</formula>
    </cfRule>
    <cfRule type="cellIs" dxfId="120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B6B29-F229-B244-ABC5-D30C15041DD8}">
          <x14:formula1>
            <xm:f>'Data Validation'!$A$1:$A$3</xm:f>
          </x14:formula1>
          <xm:sqref>G2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EF915-0E88-604F-A705-1F4FD7A9F6F5}">
  <sheetPr codeName="Sheet4">
    <tabColor indexed="50"/>
  </sheetPr>
  <dimension ref="A1:I6"/>
  <sheetViews>
    <sheetView showGridLines="0" zoomScaleNormal="100" workbookViewId="0">
      <pane ySplit="1" topLeftCell="A2" activePane="bottomLeft" state="frozen"/>
      <selection activeCell="B19" sqref="B19"/>
      <selection pane="bottomLeft" activeCell="B2" sqref="B2"/>
    </sheetView>
  </sheetViews>
  <sheetFormatPr baseColWidth="10" defaultColWidth="9.1640625" defaultRowHeight="15" x14ac:dyDescent="0.2"/>
  <cols>
    <col min="1" max="1" width="8.33203125" style="2" customWidth="1"/>
    <col min="2" max="2" width="78.83203125" style="2" bestFit="1" customWidth="1"/>
    <col min="3" max="3" width="20" style="2" customWidth="1"/>
    <col min="4" max="4" width="67.33203125" style="2" bestFit="1" customWidth="1"/>
    <col min="5" max="5" width="19.33203125" style="2" bestFit="1" customWidth="1"/>
    <col min="6" max="6" width="16.6640625" style="2" customWidth="1"/>
    <col min="7" max="7" width="13.1640625" style="3" bestFit="1" customWidth="1"/>
    <col min="8" max="8" width="19" style="2" customWidth="1"/>
    <col min="9" max="9" width="12.6640625" style="2" customWidth="1"/>
    <col min="10" max="16384" width="9.1640625" style="2"/>
  </cols>
  <sheetData>
    <row r="1" spans="1:9" ht="57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3" t="s">
        <v>70</v>
      </c>
    </row>
    <row r="2" spans="1:9" ht="409.6" x14ac:dyDescent="0.2">
      <c r="A2" s="42">
        <v>1</v>
      </c>
      <c r="B2" s="57" t="s">
        <v>88</v>
      </c>
      <c r="C2" s="43" t="s">
        <v>73</v>
      </c>
      <c r="D2" s="53" t="s">
        <v>75</v>
      </c>
      <c r="E2" s="44"/>
      <c r="F2" s="45"/>
      <c r="G2" s="39"/>
      <c r="I2" s="41"/>
    </row>
    <row r="3" spans="1:9" ht="380" x14ac:dyDescent="0.2">
      <c r="A3" s="14">
        <v>2</v>
      </c>
      <c r="B3" s="58" t="s">
        <v>33</v>
      </c>
      <c r="C3" s="46" t="s">
        <v>73</v>
      </c>
      <c r="D3" s="47" t="s">
        <v>76</v>
      </c>
      <c r="E3" s="47"/>
      <c r="F3" s="14"/>
      <c r="G3" s="39"/>
      <c r="H3" s="41"/>
      <c r="I3" s="41"/>
    </row>
    <row r="4" spans="1:9" ht="32" x14ac:dyDescent="0.2">
      <c r="A4" s="14">
        <v>3</v>
      </c>
      <c r="B4" s="55" t="s">
        <v>80</v>
      </c>
      <c r="C4" s="14"/>
      <c r="D4" s="47" t="s">
        <v>77</v>
      </c>
      <c r="E4" s="47"/>
      <c r="F4" s="14"/>
      <c r="G4" s="39"/>
      <c r="H4" s="41"/>
      <c r="I4" s="41"/>
    </row>
    <row r="5" spans="1:9" ht="380" x14ac:dyDescent="0.2">
      <c r="A5" s="42">
        <v>4</v>
      </c>
      <c r="B5" s="63" t="s">
        <v>33</v>
      </c>
      <c r="C5" s="64" t="s">
        <v>74</v>
      </c>
      <c r="D5" s="65" t="s">
        <v>78</v>
      </c>
      <c r="E5" s="66"/>
      <c r="F5" s="42"/>
      <c r="G5" s="67"/>
      <c r="H5" s="68"/>
      <c r="I5" s="68"/>
    </row>
    <row r="6" spans="1:9" s="41" customFormat="1" ht="409.6" x14ac:dyDescent="0.2">
      <c r="A6" s="41">
        <v>5</v>
      </c>
      <c r="B6" s="41" t="s">
        <v>94</v>
      </c>
      <c r="C6" s="70" t="s">
        <v>90</v>
      </c>
      <c r="D6" s="69" t="s">
        <v>89</v>
      </c>
      <c r="G6" s="69"/>
    </row>
  </sheetData>
  <conditionalFormatting sqref="G1">
    <cfRule type="cellIs" dxfId="119" priority="4" operator="equal">
      <formula>"NO RUN"</formula>
    </cfRule>
    <cfRule type="cellIs" dxfId="118" priority="5" operator="equal">
      <formula>"FAIL"</formula>
    </cfRule>
    <cfRule type="cellIs" dxfId="117" priority="6" operator="equal">
      <formula>"PASS"</formula>
    </cfRule>
  </conditionalFormatting>
  <conditionalFormatting sqref="G2:G5">
    <cfRule type="cellIs" dxfId="116" priority="1" operator="equal">
      <formula>"NOT RUN"</formula>
    </cfRule>
    <cfRule type="cellIs" dxfId="115" priority="2" operator="equal">
      <formula>"FAIL"</formula>
    </cfRule>
    <cfRule type="cellIs" dxfId="114" priority="3" operator="equal">
      <formula>"PASS"</formula>
    </cfRule>
  </conditionalFormatting>
  <conditionalFormatting sqref="G6:G1048576">
    <cfRule type="cellIs" dxfId="113" priority="7" operator="equal">
      <formula>"NOT RUN"</formula>
    </cfRule>
    <cfRule type="cellIs" dxfId="112" priority="8" operator="equal">
      <formula>"FAIL"</formula>
    </cfRule>
    <cfRule type="cellIs" dxfId="111" priority="9" operator="equal">
      <formula>"PASS"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15CBB16-2EA0-584B-8163-58410990EE30}">
          <x14:formula1>
            <xm:f>'Data Validation'!$A$1:$A$3</xm:f>
          </x14:formula1>
          <xm:sqref>G2:G5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EE7C1-C587-2849-B81C-75B83EEEFB9C}">
  <sheetPr codeName="Sheet5">
    <tabColor indexed="50"/>
  </sheetPr>
  <dimension ref="A1:I6"/>
  <sheetViews>
    <sheetView showGridLines="0" workbookViewId="0">
      <pane ySplit="1" topLeftCell="A5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1" width="9.1640625" bestFit="1" customWidth="1"/>
    <col min="2" max="2" width="84.83203125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  <col min="8" max="8" width="18.5" customWidth="1"/>
    <col min="9" max="9" width="17.1640625" customWidth="1"/>
  </cols>
  <sheetData>
    <row r="1" spans="1:9" ht="42" customHeight="1" x14ac:dyDescent="0.2">
      <c r="A1" s="32" t="s">
        <v>28</v>
      </c>
      <c r="B1" s="32" t="s">
        <v>29</v>
      </c>
      <c r="C1" s="32" t="s">
        <v>65</v>
      </c>
      <c r="D1" s="32" t="s">
        <v>30</v>
      </c>
      <c r="E1" s="32" t="s">
        <v>67</v>
      </c>
      <c r="F1" s="32" t="s">
        <v>31</v>
      </c>
      <c r="G1" s="32" t="s">
        <v>68</v>
      </c>
      <c r="H1" s="33" t="s">
        <v>69</v>
      </c>
      <c r="I1" s="33" t="s">
        <v>70</v>
      </c>
    </row>
    <row r="2" spans="1:9" ht="409.6" x14ac:dyDescent="0.2">
      <c r="A2" s="48">
        <v>1</v>
      </c>
      <c r="B2" s="56" t="s">
        <v>124</v>
      </c>
      <c r="C2" s="43" t="s">
        <v>73</v>
      </c>
      <c r="D2" s="53" t="s">
        <v>75</v>
      </c>
      <c r="E2" s="50"/>
      <c r="F2" s="50"/>
      <c r="G2" s="39"/>
      <c r="H2" s="74"/>
      <c r="I2" s="74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76</v>
      </c>
      <c r="E3" s="50"/>
      <c r="F3" s="50"/>
      <c r="G3" s="39"/>
      <c r="H3" s="74"/>
      <c r="I3" s="74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74"/>
      <c r="I4" s="74"/>
    </row>
    <row r="5" spans="1:9" ht="380" x14ac:dyDescent="0.2">
      <c r="A5" s="75">
        <v>4</v>
      </c>
      <c r="B5" s="58" t="s">
        <v>125</v>
      </c>
      <c r="C5" s="46" t="s">
        <v>87</v>
      </c>
      <c r="D5" s="47" t="s">
        <v>126</v>
      </c>
      <c r="E5" s="50"/>
      <c r="F5" s="50"/>
      <c r="G5" s="39"/>
      <c r="H5" s="74"/>
      <c r="I5" s="74"/>
    </row>
    <row r="6" spans="1:9" ht="380" x14ac:dyDescent="0.2">
      <c r="A6" s="48">
        <v>5</v>
      </c>
      <c r="B6" s="58" t="s">
        <v>33</v>
      </c>
      <c r="C6" s="46" t="s">
        <v>87</v>
      </c>
      <c r="D6" s="47" t="s">
        <v>127</v>
      </c>
      <c r="E6" s="50"/>
      <c r="F6" s="50"/>
      <c r="G6" s="39"/>
      <c r="H6" s="74"/>
      <c r="I6" s="74"/>
    </row>
  </sheetData>
  <conditionalFormatting sqref="G1">
    <cfRule type="cellIs" dxfId="110" priority="4" operator="equal">
      <formula>"NO RUN"</formula>
    </cfRule>
    <cfRule type="cellIs" dxfId="109" priority="5" operator="equal">
      <formula>"FAIL"</formula>
    </cfRule>
    <cfRule type="cellIs" dxfId="108" priority="6" operator="equal">
      <formula>"PASS"</formula>
    </cfRule>
  </conditionalFormatting>
  <conditionalFormatting sqref="G2:G6">
    <cfRule type="cellIs" dxfId="107" priority="1" operator="equal">
      <formula>"NOT RUN"</formula>
    </cfRule>
    <cfRule type="cellIs" dxfId="106" priority="2" operator="equal">
      <formula>"FAIL"</formula>
    </cfRule>
    <cfRule type="cellIs" dxfId="105" priority="3" operator="equal">
      <formula>"PASS"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347C5-2AD3-4D7F-8CE3-E090E3F94881}">
  <sheetPr codeName="Sheet6">
    <tabColor indexed="50"/>
  </sheetPr>
  <dimension ref="A1:I7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1" width="9.1640625" bestFit="1" customWidth="1"/>
    <col min="2" max="2" width="84.83203125" style="1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  <col min="8" max="8" width="19.1640625" customWidth="1"/>
    <col min="9" max="9" width="17.33203125" customWidth="1"/>
  </cols>
  <sheetData>
    <row r="1" spans="1:9" ht="42" customHeight="1" x14ac:dyDescent="0.2">
      <c r="A1" s="32" t="s">
        <v>28</v>
      </c>
      <c r="B1" s="32" t="s">
        <v>29</v>
      </c>
      <c r="C1" s="32" t="s">
        <v>65</v>
      </c>
      <c r="D1" s="32" t="s">
        <v>30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75</v>
      </c>
      <c r="E2" s="50"/>
      <c r="F2" s="50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76</v>
      </c>
      <c r="E3" s="50"/>
      <c r="F3" s="50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9"/>
      <c r="I4" s="9"/>
    </row>
    <row r="5" spans="1:9" ht="380" x14ac:dyDescent="0.2">
      <c r="A5" s="48">
        <v>4</v>
      </c>
      <c r="B5" s="73" t="s">
        <v>33</v>
      </c>
      <c r="C5" s="59" t="s">
        <v>74</v>
      </c>
      <c r="D5" s="60" t="s">
        <v>91</v>
      </c>
      <c r="E5" s="71"/>
      <c r="F5" s="71"/>
      <c r="G5" s="72"/>
      <c r="H5" s="9"/>
      <c r="I5" s="9"/>
    </row>
    <row r="6" spans="1:9" ht="380" x14ac:dyDescent="0.2">
      <c r="A6" s="48">
        <v>5</v>
      </c>
      <c r="B6" s="57" t="s">
        <v>92</v>
      </c>
      <c r="C6" s="59" t="s">
        <v>74</v>
      </c>
      <c r="D6" s="60" t="s">
        <v>93</v>
      </c>
      <c r="E6" s="50"/>
      <c r="F6" s="50"/>
      <c r="G6" s="39"/>
      <c r="H6" s="9"/>
      <c r="I6" s="9"/>
    </row>
    <row r="7" spans="1:9" s="41" customFormat="1" ht="409.6" x14ac:dyDescent="0.2">
      <c r="A7" s="48">
        <v>6</v>
      </c>
      <c r="B7" s="41" t="s">
        <v>94</v>
      </c>
      <c r="C7" s="73" t="s">
        <v>95</v>
      </c>
      <c r="D7" s="69" t="s">
        <v>96</v>
      </c>
      <c r="G7" s="69"/>
    </row>
  </sheetData>
  <conditionalFormatting sqref="G1">
    <cfRule type="cellIs" dxfId="104" priority="7" operator="equal">
      <formula>"NO RUN"</formula>
    </cfRule>
    <cfRule type="cellIs" dxfId="103" priority="8" operator="equal">
      <formula>"FAIL"</formula>
    </cfRule>
    <cfRule type="cellIs" dxfId="102" priority="9" operator="equal">
      <formula>"PASS"</formula>
    </cfRule>
  </conditionalFormatting>
  <conditionalFormatting sqref="G2:G6">
    <cfRule type="cellIs" dxfId="101" priority="4" operator="equal">
      <formula>"NOT RUN"</formula>
    </cfRule>
    <cfRule type="cellIs" dxfId="100" priority="5" operator="equal">
      <formula>"FAIL"</formula>
    </cfRule>
    <cfRule type="cellIs" dxfId="99" priority="6" operator="equal">
      <formula>"PASS"</formula>
    </cfRule>
  </conditionalFormatting>
  <conditionalFormatting sqref="G7">
    <cfRule type="cellIs" dxfId="98" priority="1" operator="equal">
      <formula>"NOT RUN"</formula>
    </cfRule>
    <cfRule type="cellIs" dxfId="97" priority="2" operator="equal">
      <formula>"FAIL"</formula>
    </cfRule>
    <cfRule type="cellIs" dxfId="96" priority="3" operator="equal">
      <formula>"PASS"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5ED9EC-C170-374D-8C49-E36F0F941EBC}">
          <x14:formula1>
            <xm:f>'Data Validation'!$A$1:$A$3</xm:f>
          </x14:formula1>
          <xm:sqref>G2:G6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2410-B87E-4789-94F2-0C28B38CFE95}">
  <sheetPr codeName="Sheet7">
    <tabColor indexed="50"/>
  </sheetPr>
  <dimension ref="A1:I9"/>
  <sheetViews>
    <sheetView showGridLines="0" workbookViewId="0">
      <pane ySplit="1" topLeftCell="A7" activePane="bottomLeft" state="frozen"/>
      <selection pane="bottomLeft" activeCell="B8" sqref="B8"/>
    </sheetView>
  </sheetViews>
  <sheetFormatPr baseColWidth="10" defaultColWidth="8.83203125" defaultRowHeight="15" x14ac:dyDescent="0.2"/>
  <cols>
    <col min="1" max="1" width="9.1640625" bestFit="1" customWidth="1"/>
    <col min="2" max="2" width="84.83203125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  <col min="8" max="8" width="14.83203125" customWidth="1"/>
    <col min="9" max="9" width="15.1640625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99</v>
      </c>
      <c r="E2" s="50"/>
      <c r="F2" s="50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0"/>
      <c r="F3" s="50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0"/>
      <c r="F5" s="50"/>
      <c r="G5" s="39"/>
      <c r="H5" s="9"/>
      <c r="I5" s="9"/>
    </row>
    <row r="6" spans="1:9" ht="112" x14ac:dyDescent="0.2">
      <c r="A6" s="48">
        <v>5</v>
      </c>
      <c r="B6" s="56" t="s">
        <v>97</v>
      </c>
      <c r="C6" s="59" t="s">
        <v>74</v>
      </c>
      <c r="D6" s="49" t="s">
        <v>49</v>
      </c>
      <c r="E6" s="50"/>
      <c r="F6" s="50"/>
      <c r="G6" s="39"/>
      <c r="H6" s="9"/>
      <c r="I6" s="9"/>
    </row>
    <row r="7" spans="1:9" ht="380" x14ac:dyDescent="0.2">
      <c r="A7" s="48">
        <v>6</v>
      </c>
      <c r="B7" s="56" t="s">
        <v>102</v>
      </c>
      <c r="C7" s="59" t="s">
        <v>74</v>
      </c>
      <c r="D7" s="60" t="s">
        <v>101</v>
      </c>
      <c r="E7" s="50"/>
      <c r="F7" s="50"/>
      <c r="G7" s="39"/>
      <c r="H7" s="9"/>
      <c r="I7" s="9"/>
    </row>
    <row r="8" spans="1:9" ht="380" x14ac:dyDescent="0.2">
      <c r="A8" s="48">
        <v>7</v>
      </c>
      <c r="B8" s="56" t="s">
        <v>103</v>
      </c>
      <c r="C8" s="59" t="s">
        <v>74</v>
      </c>
      <c r="D8" s="60" t="s">
        <v>101</v>
      </c>
      <c r="E8" s="50"/>
      <c r="F8" s="50"/>
      <c r="G8" s="39"/>
      <c r="H8" s="9"/>
      <c r="I8" s="9"/>
    </row>
    <row r="9" spans="1:9" s="41" customFormat="1" ht="409.6" x14ac:dyDescent="0.2">
      <c r="A9" s="41">
        <v>8</v>
      </c>
      <c r="B9" s="41" t="s">
        <v>94</v>
      </c>
      <c r="C9" s="73" t="s">
        <v>95</v>
      </c>
      <c r="D9" s="69" t="s">
        <v>96</v>
      </c>
      <c r="G9" s="69"/>
    </row>
  </sheetData>
  <conditionalFormatting sqref="G1">
    <cfRule type="cellIs" dxfId="95" priority="7" operator="equal">
      <formula>"NO RUN"</formula>
    </cfRule>
    <cfRule type="cellIs" dxfId="94" priority="8" operator="equal">
      <formula>"FAIL"</formula>
    </cfRule>
    <cfRule type="cellIs" dxfId="93" priority="9" operator="equal">
      <formula>"PASS"</formula>
    </cfRule>
  </conditionalFormatting>
  <conditionalFormatting sqref="G2:G8">
    <cfRule type="cellIs" dxfId="92" priority="4" operator="equal">
      <formula>"NOT RUN"</formula>
    </cfRule>
    <cfRule type="cellIs" dxfId="91" priority="5" operator="equal">
      <formula>"FAIL"</formula>
    </cfRule>
    <cfRule type="cellIs" dxfId="90" priority="6" operator="equal">
      <formula>"PASS"</formula>
    </cfRule>
  </conditionalFormatting>
  <conditionalFormatting sqref="G9">
    <cfRule type="cellIs" dxfId="89" priority="1" operator="equal">
      <formula>"NOT RUN"</formula>
    </cfRule>
    <cfRule type="cellIs" dxfId="88" priority="2" operator="equal">
      <formula>"FAIL"</formula>
    </cfRule>
    <cfRule type="cellIs" dxfId="87" priority="3" operator="equal">
      <formula>"PASS"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AB80E-200C-F742-8B3F-8DC37CC1F1B8}">
          <x14:formula1>
            <xm:f>'Data Validation'!$A$1:$A$3</xm:f>
          </x14:formula1>
          <xm:sqref>G2:G8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8C09E-A951-420E-A9A0-9289EA3AF16F}">
  <sheetPr codeName="Sheet8">
    <tabColor indexed="50"/>
  </sheetPr>
  <dimension ref="A1:I8"/>
  <sheetViews>
    <sheetView showGridLines="0" workbookViewId="0">
      <pane ySplit="1" topLeftCell="A7" activePane="bottomLeft" state="frozen"/>
      <selection pane="bottomLeft" activeCell="D7" sqref="D7"/>
    </sheetView>
  </sheetViews>
  <sheetFormatPr baseColWidth="10" defaultColWidth="8.83203125" defaultRowHeight="15" x14ac:dyDescent="0.2"/>
  <cols>
    <col min="1" max="1" width="9.1640625" bestFit="1" customWidth="1"/>
    <col min="2" max="2" width="84.83203125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99</v>
      </c>
      <c r="E2" s="50"/>
      <c r="F2" s="50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0"/>
      <c r="F3" s="50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0"/>
      <c r="F5" s="50"/>
      <c r="G5" s="39"/>
      <c r="H5" s="9"/>
      <c r="I5" s="9"/>
    </row>
    <row r="6" spans="1:9" ht="409" customHeight="1" x14ac:dyDescent="0.2">
      <c r="A6" s="48">
        <v>5</v>
      </c>
      <c r="B6" s="58" t="s">
        <v>43</v>
      </c>
      <c r="C6" s="59" t="s">
        <v>84</v>
      </c>
      <c r="D6" s="49" t="s">
        <v>104</v>
      </c>
      <c r="E6" s="50"/>
      <c r="F6" s="50"/>
      <c r="G6" s="39"/>
      <c r="H6" s="9"/>
      <c r="I6" s="9"/>
    </row>
    <row r="7" spans="1:9" s="41" customFormat="1" ht="409.6" x14ac:dyDescent="0.2">
      <c r="A7" s="41">
        <v>6</v>
      </c>
      <c r="B7" s="41" t="s">
        <v>94</v>
      </c>
      <c r="C7" s="73" t="s">
        <v>105</v>
      </c>
      <c r="D7" s="69" t="s">
        <v>106</v>
      </c>
      <c r="G7" s="69"/>
    </row>
    <row r="8" spans="1:9" s="41" customFormat="1" ht="409.6" x14ac:dyDescent="0.2">
      <c r="A8" s="41">
        <v>7</v>
      </c>
      <c r="B8" s="69" t="s">
        <v>110</v>
      </c>
      <c r="C8" s="73" t="s">
        <v>109</v>
      </c>
      <c r="D8" s="69" t="s">
        <v>108</v>
      </c>
      <c r="G8" s="69"/>
    </row>
  </sheetData>
  <conditionalFormatting sqref="G1">
    <cfRule type="cellIs" dxfId="86" priority="7" operator="equal">
      <formula>"NO RUN"</formula>
    </cfRule>
    <cfRule type="cellIs" dxfId="85" priority="8" operator="equal">
      <formula>"FAIL"</formula>
    </cfRule>
    <cfRule type="cellIs" dxfId="84" priority="9" operator="equal">
      <formula>"PASS"</formula>
    </cfRule>
  </conditionalFormatting>
  <conditionalFormatting sqref="G2:G6">
    <cfRule type="cellIs" dxfId="83" priority="4" operator="equal">
      <formula>"NOT RUN"</formula>
    </cfRule>
    <cfRule type="cellIs" dxfId="82" priority="5" operator="equal">
      <formula>"FAIL"</formula>
    </cfRule>
    <cfRule type="cellIs" dxfId="81" priority="6" operator="equal">
      <formula>"PASS"</formula>
    </cfRule>
  </conditionalFormatting>
  <conditionalFormatting sqref="G7:G8">
    <cfRule type="cellIs" dxfId="80" priority="1" operator="equal">
      <formula>"NOT RUN"</formula>
    </cfRule>
    <cfRule type="cellIs" dxfId="79" priority="2" operator="equal">
      <formula>"FAIL"</formula>
    </cfRule>
    <cfRule type="cellIs" dxfId="78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6F1355-5E26-B54F-A514-42981FF11E1A}">
          <x14:formula1>
            <xm:f>'Data Validation'!$A$1:$A$3</xm:f>
          </x14:formula1>
          <xm:sqref>G2:G6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3447A-6830-447C-9986-523CA8A9DB03}">
  <sheetPr codeName="Sheet9">
    <tabColor indexed="50"/>
  </sheetPr>
  <dimension ref="A1:I9"/>
  <sheetViews>
    <sheetView showGridLines="0" workbookViewId="0">
      <pane ySplit="1" topLeftCell="A9" activePane="bottomLeft" state="frozen"/>
      <selection pane="bottomLeft" activeCell="A8" sqref="A8:XFD9"/>
    </sheetView>
  </sheetViews>
  <sheetFormatPr baseColWidth="10" defaultColWidth="8.83203125" defaultRowHeight="15" x14ac:dyDescent="0.2"/>
  <cols>
    <col min="1" max="1" width="9.1640625" bestFit="1" customWidth="1"/>
    <col min="2" max="2" width="84.83203125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  <col min="8" max="8" width="14.5" customWidth="1"/>
    <col min="9" max="9" width="13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99</v>
      </c>
      <c r="E2" s="50"/>
      <c r="F2" s="50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0"/>
      <c r="F3" s="50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0"/>
      <c r="F5" s="50"/>
      <c r="G5" s="39"/>
      <c r="H5" s="9"/>
      <c r="I5" s="9"/>
    </row>
    <row r="6" spans="1:9" ht="112" x14ac:dyDescent="0.2">
      <c r="A6" s="48">
        <v>5</v>
      </c>
      <c r="B6" s="58" t="s">
        <v>43</v>
      </c>
      <c r="C6" s="59" t="s">
        <v>74</v>
      </c>
      <c r="D6" s="49" t="s">
        <v>44</v>
      </c>
      <c r="E6" s="50"/>
      <c r="F6" s="50"/>
      <c r="G6" s="39"/>
      <c r="H6" s="9"/>
      <c r="I6" s="9"/>
    </row>
    <row r="7" spans="1:9" ht="409.6" x14ac:dyDescent="0.2">
      <c r="A7" s="48">
        <v>6</v>
      </c>
      <c r="B7" s="56" t="s">
        <v>111</v>
      </c>
      <c r="C7" s="59" t="s">
        <v>84</v>
      </c>
      <c r="D7" s="49" t="s">
        <v>104</v>
      </c>
      <c r="E7" s="50"/>
      <c r="F7" s="50"/>
      <c r="G7" s="39"/>
      <c r="H7" s="9"/>
      <c r="I7" s="9"/>
    </row>
    <row r="8" spans="1:9" s="41" customFormat="1" ht="409.6" x14ac:dyDescent="0.2">
      <c r="A8" s="48">
        <v>7</v>
      </c>
      <c r="B8" s="41" t="s">
        <v>94</v>
      </c>
      <c r="C8" s="73" t="s">
        <v>105</v>
      </c>
      <c r="D8" s="69" t="s">
        <v>106</v>
      </c>
      <c r="G8" s="69"/>
    </row>
    <row r="9" spans="1:9" s="41" customFormat="1" ht="409.6" x14ac:dyDescent="0.2">
      <c r="A9" s="48">
        <v>8</v>
      </c>
      <c r="B9" s="69" t="s">
        <v>110</v>
      </c>
      <c r="C9" s="73" t="s">
        <v>109</v>
      </c>
      <c r="D9" s="69" t="s">
        <v>108</v>
      </c>
      <c r="G9" s="69"/>
    </row>
  </sheetData>
  <conditionalFormatting sqref="G1">
    <cfRule type="cellIs" dxfId="77" priority="7" operator="equal">
      <formula>"NO RUN"</formula>
    </cfRule>
    <cfRule type="cellIs" dxfId="76" priority="8" operator="equal">
      <formula>"FAIL"</formula>
    </cfRule>
    <cfRule type="cellIs" dxfId="75" priority="9" operator="equal">
      <formula>"PASS"</formula>
    </cfRule>
  </conditionalFormatting>
  <conditionalFormatting sqref="G2:G7">
    <cfRule type="cellIs" dxfId="74" priority="4" operator="equal">
      <formula>"NOT RUN"</formula>
    </cfRule>
    <cfRule type="cellIs" dxfId="73" priority="5" operator="equal">
      <formula>"FAIL"</formula>
    </cfRule>
    <cfRule type="cellIs" dxfId="72" priority="6" operator="equal">
      <formula>"PASS"</formula>
    </cfRule>
  </conditionalFormatting>
  <conditionalFormatting sqref="G8:G9">
    <cfRule type="cellIs" dxfId="71" priority="1" operator="equal">
      <formula>"NOT RUN"</formula>
    </cfRule>
    <cfRule type="cellIs" dxfId="70" priority="2" operator="equal">
      <formula>"FAIL"</formula>
    </cfRule>
    <cfRule type="cellIs" dxfId="69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CE85A7-7469-6F46-A18F-B7B0ACAB4014}">
          <x14:formula1>
            <xm:f>'Data Validation'!$A$1:$A$3</xm:f>
          </x14:formula1>
          <xm:sqref>G2:G7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06B4-D1CD-4E6C-9878-20F87EB2D85C}">
  <sheetPr codeName="Sheet10">
    <tabColor indexed="50"/>
  </sheetPr>
  <dimension ref="A1:I7"/>
  <sheetViews>
    <sheetView showGridLines="0" workbookViewId="0">
      <pane ySplit="1" topLeftCell="A7" activePane="bottomLeft" state="frozen"/>
      <selection pane="bottomLeft" activeCell="A7" sqref="A7:XFD7"/>
    </sheetView>
  </sheetViews>
  <sheetFormatPr baseColWidth="10" defaultColWidth="8.83203125" defaultRowHeight="15" x14ac:dyDescent="0.2"/>
  <cols>
    <col min="1" max="1" width="9.1640625" bestFit="1" customWidth="1"/>
    <col min="2" max="2" width="84.83203125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  <col min="8" max="8" width="14" customWidth="1"/>
    <col min="9" max="9" width="13.1640625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99</v>
      </c>
      <c r="E2" s="50"/>
      <c r="F2" s="50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0"/>
      <c r="F3" s="50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0"/>
      <c r="F5" s="50"/>
      <c r="G5" s="39"/>
      <c r="H5" s="9"/>
      <c r="I5" s="9"/>
    </row>
    <row r="6" spans="1:9" ht="409.6" x14ac:dyDescent="0.2">
      <c r="A6" s="48">
        <v>5</v>
      </c>
      <c r="B6" s="58" t="s">
        <v>42</v>
      </c>
      <c r="C6" s="59" t="s">
        <v>85</v>
      </c>
      <c r="D6" s="49" t="s">
        <v>112</v>
      </c>
      <c r="E6" s="50"/>
      <c r="F6" s="50"/>
      <c r="G6" s="39"/>
      <c r="H6" s="9"/>
      <c r="I6" s="9"/>
    </row>
    <row r="7" spans="1:9" s="41" customFormat="1" ht="409.6" x14ac:dyDescent="0.2">
      <c r="A7" s="41">
        <v>6</v>
      </c>
      <c r="B7" s="41" t="s">
        <v>94</v>
      </c>
      <c r="C7" s="73" t="s">
        <v>107</v>
      </c>
      <c r="D7" s="69" t="s">
        <v>113</v>
      </c>
      <c r="G7" s="69"/>
    </row>
  </sheetData>
  <conditionalFormatting sqref="G1">
    <cfRule type="cellIs" dxfId="68" priority="7" operator="equal">
      <formula>"NO RUN"</formula>
    </cfRule>
    <cfRule type="cellIs" dxfId="67" priority="8" operator="equal">
      <formula>"FAIL"</formula>
    </cfRule>
    <cfRule type="cellIs" dxfId="66" priority="9" operator="equal">
      <formula>"PASS"</formula>
    </cfRule>
  </conditionalFormatting>
  <conditionalFormatting sqref="G2:G6">
    <cfRule type="cellIs" dxfId="65" priority="4" operator="equal">
      <formula>"NOT RUN"</formula>
    </cfRule>
    <cfRule type="cellIs" dxfId="64" priority="5" operator="equal">
      <formula>"FAIL"</formula>
    </cfRule>
    <cfRule type="cellIs" dxfId="63" priority="6" operator="equal">
      <formula>"PASS"</formula>
    </cfRule>
  </conditionalFormatting>
  <conditionalFormatting sqref="G7">
    <cfRule type="cellIs" dxfId="62" priority="1" operator="equal">
      <formula>"NOT RUN"</formula>
    </cfRule>
    <cfRule type="cellIs" dxfId="61" priority="2" operator="equal">
      <formula>"FAIL"</formula>
    </cfRule>
    <cfRule type="cellIs" dxfId="60" priority="3" operator="equal">
      <formula>"PASS"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3A1335-2790-0F40-9A0A-E0320487E071}">
          <x14:formula1>
            <xm:f>'Data Validation'!$A$1:$A$3</xm:f>
          </x14:formula1>
          <xm:sqref>G2:G6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D1A4C-11B7-45CF-983E-538EF9CEDC48}">
  <sheetPr codeName="Sheet11">
    <tabColor indexed="50"/>
  </sheetPr>
  <dimension ref="A1:I8"/>
  <sheetViews>
    <sheetView showGridLines="0" workbookViewId="0">
      <pane ySplit="1" topLeftCell="A7" activePane="bottomLeft" state="frozen"/>
      <selection pane="bottomLeft" activeCell="B7" sqref="B7"/>
    </sheetView>
  </sheetViews>
  <sheetFormatPr baseColWidth="10" defaultColWidth="8.83203125" defaultRowHeight="15" x14ac:dyDescent="0.2"/>
  <cols>
    <col min="1" max="1" width="9.1640625" bestFit="1" customWidth="1"/>
    <col min="2" max="2" width="84.83203125" bestFit="1" customWidth="1"/>
    <col min="3" max="3" width="22.5" bestFit="1" customWidth="1"/>
    <col min="4" max="4" width="57.83203125" customWidth="1"/>
    <col min="5" max="5" width="22.1640625" bestFit="1" customWidth="1"/>
    <col min="6" max="6" width="18" customWidth="1"/>
    <col min="7" max="7" width="12" bestFit="1" customWidth="1"/>
    <col min="8" max="8" width="13.83203125" customWidth="1"/>
    <col min="9" max="9" width="15.5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141" customHeight="1" x14ac:dyDescent="0.2">
      <c r="A2" s="48">
        <v>1</v>
      </c>
      <c r="B2" s="56" t="s">
        <v>88</v>
      </c>
      <c r="C2" s="43" t="s">
        <v>73</v>
      </c>
      <c r="D2" s="53" t="s">
        <v>99</v>
      </c>
      <c r="E2" s="50"/>
      <c r="F2" s="50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0"/>
      <c r="F3" s="50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0"/>
      <c r="F4" s="50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0"/>
      <c r="F5" s="50"/>
      <c r="G5" s="39"/>
      <c r="H5" s="9"/>
      <c r="I5" s="9"/>
    </row>
    <row r="6" spans="1:9" ht="112" x14ac:dyDescent="0.2">
      <c r="A6" s="48">
        <v>5</v>
      </c>
      <c r="B6" s="58" t="s">
        <v>45</v>
      </c>
      <c r="C6" s="59" t="s">
        <v>74</v>
      </c>
      <c r="D6" s="49" t="s">
        <v>44</v>
      </c>
      <c r="E6" s="50"/>
      <c r="F6" s="50"/>
      <c r="G6" s="39"/>
      <c r="H6" s="9"/>
      <c r="I6" s="9"/>
    </row>
    <row r="7" spans="1:9" ht="409.6" x14ac:dyDescent="0.2">
      <c r="A7" s="48">
        <v>6</v>
      </c>
      <c r="B7" s="56" t="s">
        <v>114</v>
      </c>
      <c r="C7" s="59" t="s">
        <v>85</v>
      </c>
      <c r="D7" s="49" t="s">
        <v>112</v>
      </c>
      <c r="E7" s="50"/>
      <c r="F7" s="50"/>
      <c r="G7" s="39"/>
      <c r="H7" s="9"/>
      <c r="I7" s="9"/>
    </row>
    <row r="8" spans="1:9" s="41" customFormat="1" ht="409.6" x14ac:dyDescent="0.2">
      <c r="A8" s="48">
        <v>7</v>
      </c>
      <c r="B8" s="41" t="s">
        <v>94</v>
      </c>
      <c r="C8" s="73" t="s">
        <v>107</v>
      </c>
      <c r="D8" s="69" t="s">
        <v>115</v>
      </c>
      <c r="G8" s="69"/>
    </row>
  </sheetData>
  <conditionalFormatting sqref="G1">
    <cfRule type="cellIs" dxfId="59" priority="7" operator="equal">
      <formula>"NO RUN"</formula>
    </cfRule>
    <cfRule type="cellIs" dxfId="58" priority="8" operator="equal">
      <formula>"FAIL"</formula>
    </cfRule>
    <cfRule type="cellIs" dxfId="57" priority="9" operator="equal">
      <formula>"PASS"</formula>
    </cfRule>
  </conditionalFormatting>
  <conditionalFormatting sqref="G2:G7">
    <cfRule type="cellIs" dxfId="56" priority="4" operator="equal">
      <formula>"NOT RUN"</formula>
    </cfRule>
    <cfRule type="cellIs" dxfId="55" priority="5" operator="equal">
      <formula>"FAIL"</formula>
    </cfRule>
    <cfRule type="cellIs" dxfId="54" priority="6" operator="equal">
      <formula>"PASS"</formula>
    </cfRule>
  </conditionalFormatting>
  <conditionalFormatting sqref="G8">
    <cfRule type="cellIs" dxfId="53" priority="1" operator="equal">
      <formula>"NOT RUN"</formula>
    </cfRule>
    <cfRule type="cellIs" dxfId="52" priority="2" operator="equal">
      <formula>"FAIL"</formula>
    </cfRule>
    <cfRule type="cellIs" dxfId="51" priority="3" operator="equal">
      <formula>"PASS"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836582-9CE0-C941-B4A9-5F306891B409}">
          <x14:formula1>
            <xm:f>'Data Validation'!$A$1:$A$3</xm:f>
          </x14:formula1>
          <xm:sqref>G2:G7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51AD1-9929-4DB6-8792-650538EFE177}">
  <sheetPr codeName="Sheet12">
    <tabColor indexed="50"/>
  </sheetPr>
  <dimension ref="A1:I7"/>
  <sheetViews>
    <sheetView showGridLines="0" topLeftCell="C1" workbookViewId="0">
      <pane ySplit="1" topLeftCell="A6" activePane="bottomLeft" state="frozen"/>
      <selection pane="bottomLeft" activeCell="B7" sqref="A7:XFD7"/>
    </sheetView>
  </sheetViews>
  <sheetFormatPr baseColWidth="10" defaultColWidth="8.83203125" defaultRowHeight="15" x14ac:dyDescent="0.2"/>
  <cols>
    <col min="2" max="2" width="79.6640625" bestFit="1" customWidth="1"/>
    <col min="3" max="3" width="22.5" bestFit="1" customWidth="1"/>
    <col min="4" max="4" width="77.1640625" customWidth="1"/>
    <col min="5" max="5" width="18.6640625" bestFit="1" customWidth="1"/>
    <col min="6" max="6" width="15.5" bestFit="1" customWidth="1"/>
    <col min="7" max="7" width="10.1640625" bestFit="1" customWidth="1"/>
    <col min="8" max="8" width="15.6640625" customWidth="1"/>
    <col min="9" max="9" width="13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173.25" customHeight="1" x14ac:dyDescent="0.2">
      <c r="A2" s="48">
        <v>1</v>
      </c>
      <c r="B2" s="56" t="s">
        <v>88</v>
      </c>
      <c r="C2" s="43" t="s">
        <v>73</v>
      </c>
      <c r="D2" s="53" t="s">
        <v>99</v>
      </c>
      <c r="E2" s="51"/>
      <c r="F2" s="51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1"/>
      <c r="F3" s="51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1"/>
      <c r="F4" s="51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1"/>
      <c r="F5" s="51"/>
      <c r="G5" s="39"/>
      <c r="H5" s="9"/>
      <c r="I5" s="9"/>
    </row>
    <row r="6" spans="1:9" ht="380" x14ac:dyDescent="0.2">
      <c r="A6" s="48">
        <v>5</v>
      </c>
      <c r="B6" s="57" t="s">
        <v>46</v>
      </c>
      <c r="C6" s="59" t="s">
        <v>86</v>
      </c>
      <c r="D6" s="60" t="s">
        <v>116</v>
      </c>
      <c r="E6" s="50"/>
      <c r="F6" s="50"/>
      <c r="G6" s="39"/>
      <c r="H6" s="9"/>
      <c r="I6" s="9"/>
    </row>
    <row r="7" spans="1:9" s="41" customFormat="1" ht="409.6" x14ac:dyDescent="0.2">
      <c r="A7" s="41">
        <v>6</v>
      </c>
      <c r="B7" s="41" t="s">
        <v>94</v>
      </c>
      <c r="C7" s="73" t="s">
        <v>117</v>
      </c>
      <c r="D7" s="69" t="s">
        <v>118</v>
      </c>
      <c r="G7" s="69"/>
    </row>
  </sheetData>
  <conditionalFormatting sqref="G1">
    <cfRule type="cellIs" dxfId="50" priority="7" operator="equal">
      <formula>"NO RUN"</formula>
    </cfRule>
    <cfRule type="cellIs" dxfId="49" priority="8" operator="equal">
      <formula>"FAIL"</formula>
    </cfRule>
    <cfRule type="cellIs" dxfId="48" priority="9" operator="equal">
      <formula>"PASS"</formula>
    </cfRule>
  </conditionalFormatting>
  <conditionalFormatting sqref="G2:G6">
    <cfRule type="cellIs" dxfId="47" priority="4" operator="equal">
      <formula>"NOT RUN"</formula>
    </cfRule>
    <cfRule type="cellIs" dxfId="46" priority="5" operator="equal">
      <formula>"FAIL"</formula>
    </cfRule>
    <cfRule type="cellIs" dxfId="45" priority="6" operator="equal">
      <formula>"PASS"</formula>
    </cfRule>
  </conditionalFormatting>
  <conditionalFormatting sqref="G7">
    <cfRule type="cellIs" dxfId="44" priority="1" operator="equal">
      <formula>"NOT RUN"</formula>
    </cfRule>
    <cfRule type="cellIs" dxfId="43" priority="2" operator="equal">
      <formula>"FAIL"</formula>
    </cfRule>
    <cfRule type="cellIs" dxfId="42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31774A-07B2-4C43-898E-DB9C3ADC2629}">
          <x14:formula1>
            <xm:f>'Data Validation'!$A$1:$A$3</xm:f>
          </x14:formula1>
          <xm:sqref>G2:G6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3B6F0-2A71-4EAF-ADF1-C5B91C831FFD}">
  <sheetPr codeName="Sheet14">
    <tabColor indexed="50"/>
  </sheetPr>
  <dimension ref="A1:I8"/>
  <sheetViews>
    <sheetView showGridLines="0" workbookViewId="0">
      <pane ySplit="1" topLeftCell="A5" activePane="bottomLeft" state="frozen"/>
      <selection pane="bottomLeft" activeCell="D8" sqref="D8"/>
    </sheetView>
  </sheetViews>
  <sheetFormatPr baseColWidth="10" defaultColWidth="8.83203125" defaultRowHeight="15" x14ac:dyDescent="0.2"/>
  <cols>
    <col min="2" max="2" width="79.6640625" bestFit="1" customWidth="1"/>
    <col min="3" max="3" width="22.5" bestFit="1" customWidth="1"/>
    <col min="4" max="4" width="77.1640625" customWidth="1"/>
    <col min="5" max="5" width="18.6640625" bestFit="1" customWidth="1"/>
    <col min="6" max="6" width="15.5" bestFit="1" customWidth="1"/>
    <col min="7" max="7" width="10.1640625" bestFit="1" customWidth="1"/>
    <col min="8" max="8" width="15.6640625" customWidth="1"/>
    <col min="9" max="9" width="13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173.25" customHeight="1" x14ac:dyDescent="0.2">
      <c r="A2" s="48">
        <v>1</v>
      </c>
      <c r="B2" s="56" t="s">
        <v>88</v>
      </c>
      <c r="C2" s="43" t="s">
        <v>73</v>
      </c>
      <c r="D2" s="53" t="s">
        <v>99</v>
      </c>
      <c r="E2" s="51"/>
      <c r="F2" s="51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1"/>
      <c r="F3" s="51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1"/>
      <c r="F4" s="51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1"/>
      <c r="F5" s="51"/>
      <c r="G5" s="39"/>
      <c r="H5" s="9"/>
      <c r="I5" s="9"/>
    </row>
    <row r="6" spans="1:9" ht="112" x14ac:dyDescent="0.2">
      <c r="A6" s="48">
        <v>5</v>
      </c>
      <c r="B6" s="58" t="s">
        <v>46</v>
      </c>
      <c r="C6" s="59" t="s">
        <v>74</v>
      </c>
      <c r="D6" s="49" t="s">
        <v>44</v>
      </c>
      <c r="E6" s="50"/>
      <c r="F6" s="50"/>
      <c r="G6" s="39"/>
      <c r="H6" s="9"/>
      <c r="I6" s="9"/>
    </row>
    <row r="7" spans="1:9" ht="380" x14ac:dyDescent="0.2">
      <c r="A7" s="48">
        <v>5</v>
      </c>
      <c r="B7" s="57" t="s">
        <v>122</v>
      </c>
      <c r="C7" s="59" t="s">
        <v>86</v>
      </c>
      <c r="D7" s="60" t="s">
        <v>116</v>
      </c>
      <c r="E7" s="50"/>
      <c r="F7" s="50"/>
      <c r="G7" s="39"/>
      <c r="H7" s="9"/>
      <c r="I7" s="9"/>
    </row>
    <row r="8" spans="1:9" s="41" customFormat="1" ht="409.6" x14ac:dyDescent="0.2">
      <c r="A8" s="41">
        <v>6</v>
      </c>
      <c r="B8" s="41" t="s">
        <v>94</v>
      </c>
      <c r="C8" s="73" t="s">
        <v>117</v>
      </c>
      <c r="D8" s="69" t="s">
        <v>118</v>
      </c>
      <c r="G8" s="69"/>
    </row>
  </sheetData>
  <conditionalFormatting sqref="G1">
    <cfRule type="cellIs" dxfId="41" priority="10" operator="equal">
      <formula>"NO RUN"</formula>
    </cfRule>
    <cfRule type="cellIs" dxfId="40" priority="11" operator="equal">
      <formula>"FAIL"</formula>
    </cfRule>
    <cfRule type="cellIs" dxfId="39" priority="12" operator="equal">
      <formula>"PASS"</formula>
    </cfRule>
  </conditionalFormatting>
  <conditionalFormatting sqref="G2:G5 G7">
    <cfRule type="cellIs" dxfId="38" priority="7" operator="equal">
      <formula>"NOT RUN"</formula>
    </cfRule>
    <cfRule type="cellIs" dxfId="37" priority="8" operator="equal">
      <formula>"FAIL"</formula>
    </cfRule>
    <cfRule type="cellIs" dxfId="36" priority="9" operator="equal">
      <formula>"PASS"</formula>
    </cfRule>
  </conditionalFormatting>
  <conditionalFormatting sqref="G8">
    <cfRule type="cellIs" dxfId="35" priority="4" operator="equal">
      <formula>"NOT RUN"</formula>
    </cfRule>
    <cfRule type="cellIs" dxfId="34" priority="5" operator="equal">
      <formula>"FAIL"</formula>
    </cfRule>
    <cfRule type="cellIs" dxfId="33" priority="6" operator="equal">
      <formula>"PASS"</formula>
    </cfRule>
  </conditionalFormatting>
  <conditionalFormatting sqref="G6">
    <cfRule type="cellIs" dxfId="32" priority="1" operator="equal">
      <formula>"NOT RUN"</formula>
    </cfRule>
    <cfRule type="cellIs" dxfId="31" priority="2" operator="equal">
      <formula>"FAIL"</formula>
    </cfRule>
    <cfRule type="cellIs" dxfId="30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A0168-4527-4C41-9011-C7ABD202ED94}">
          <x14:formula1>
            <xm:f>'Data Validation'!$A$1:$A$3</xm:f>
          </x14:formula1>
          <xm:sqref>G2:G7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8440-EE5E-44ED-BC43-D221F4F70391}">
  <sheetPr codeName="Sheet13">
    <tabColor indexed="50"/>
  </sheetPr>
  <dimension ref="A1:I9"/>
  <sheetViews>
    <sheetView showGridLines="0" topLeftCell="B1" workbookViewId="0">
      <pane ySplit="1" topLeftCell="A8" activePane="bottomLeft" state="frozen"/>
      <selection pane="bottomLeft" activeCell="D9" sqref="D9"/>
    </sheetView>
  </sheetViews>
  <sheetFormatPr baseColWidth="10" defaultColWidth="8.83203125" defaultRowHeight="15" x14ac:dyDescent="0.2"/>
  <cols>
    <col min="1" max="1" width="9" bestFit="1" customWidth="1"/>
    <col min="2" max="2" width="79.6640625" bestFit="1" customWidth="1"/>
    <col min="3" max="3" width="22.5" bestFit="1" customWidth="1"/>
    <col min="4" max="4" width="80.6640625" customWidth="1"/>
    <col min="5" max="5" width="18.6640625" bestFit="1" customWidth="1"/>
    <col min="6" max="6" width="15.5" bestFit="1" customWidth="1"/>
    <col min="7" max="7" width="10.1640625" bestFit="1" customWidth="1"/>
    <col min="8" max="8" width="15" customWidth="1"/>
    <col min="9" max="9" width="15.83203125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99</v>
      </c>
      <c r="E2" s="52"/>
      <c r="F2" s="52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2"/>
      <c r="F3" s="52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2"/>
      <c r="F4" s="52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2"/>
      <c r="F5" s="52"/>
      <c r="G5" s="39"/>
      <c r="H5" s="9"/>
      <c r="I5" s="9"/>
    </row>
    <row r="6" spans="1:9" ht="380" x14ac:dyDescent="0.2">
      <c r="A6" s="48">
        <v>5</v>
      </c>
      <c r="B6" s="57" t="s">
        <v>46</v>
      </c>
      <c r="C6" s="59" t="s">
        <v>86</v>
      </c>
      <c r="D6" s="60" t="s">
        <v>116</v>
      </c>
      <c r="E6" s="50"/>
      <c r="F6" s="50"/>
      <c r="G6" s="39"/>
      <c r="H6" s="9"/>
      <c r="I6" s="9"/>
    </row>
    <row r="7" spans="1:9" s="41" customFormat="1" ht="409.6" x14ac:dyDescent="0.2">
      <c r="A7" s="41">
        <v>6</v>
      </c>
      <c r="B7" s="41" t="s">
        <v>94</v>
      </c>
      <c r="C7" s="73" t="s">
        <v>117</v>
      </c>
      <c r="D7" s="69" t="s">
        <v>118</v>
      </c>
      <c r="G7" s="69"/>
    </row>
    <row r="8" spans="1:9" ht="380" x14ac:dyDescent="0.2">
      <c r="A8" s="48">
        <v>6</v>
      </c>
      <c r="B8" s="57" t="s">
        <v>47</v>
      </c>
      <c r="C8" s="59" t="s">
        <v>87</v>
      </c>
      <c r="D8" s="60" t="s">
        <v>119</v>
      </c>
      <c r="E8" s="50"/>
      <c r="F8" s="50"/>
      <c r="G8" s="39"/>
      <c r="H8" s="9"/>
      <c r="I8" s="9"/>
    </row>
    <row r="9" spans="1:9" s="41" customFormat="1" ht="409.6" x14ac:dyDescent="0.2">
      <c r="A9" s="41">
        <v>7</v>
      </c>
      <c r="B9" s="41" t="s">
        <v>94</v>
      </c>
      <c r="C9" s="73" t="s">
        <v>120</v>
      </c>
      <c r="D9" s="69" t="s">
        <v>121</v>
      </c>
      <c r="G9" s="69"/>
    </row>
  </sheetData>
  <conditionalFormatting sqref="G1">
    <cfRule type="cellIs" dxfId="29" priority="10" operator="equal">
      <formula>"NO RUN"</formula>
    </cfRule>
    <cfRule type="cellIs" dxfId="28" priority="11" operator="equal">
      <formula>"FAIL"</formula>
    </cfRule>
    <cfRule type="cellIs" dxfId="27" priority="12" operator="equal">
      <formula>"PASS"</formula>
    </cfRule>
  </conditionalFormatting>
  <conditionalFormatting sqref="G2:G6 G8">
    <cfRule type="cellIs" dxfId="26" priority="7" operator="equal">
      <formula>"NOT RUN"</formula>
    </cfRule>
    <cfRule type="cellIs" dxfId="25" priority="8" operator="equal">
      <formula>"FAIL"</formula>
    </cfRule>
    <cfRule type="cellIs" dxfId="24" priority="9" operator="equal">
      <formula>"PASS"</formula>
    </cfRule>
  </conditionalFormatting>
  <conditionalFormatting sqref="G7">
    <cfRule type="cellIs" dxfId="23" priority="4" operator="equal">
      <formula>"NOT RUN"</formula>
    </cfRule>
    <cfRule type="cellIs" dxfId="22" priority="5" operator="equal">
      <formula>"FAIL"</formula>
    </cfRule>
    <cfRule type="cellIs" dxfId="21" priority="6" operator="equal">
      <formula>"PASS"</formula>
    </cfRule>
  </conditionalFormatting>
  <conditionalFormatting sqref="G9">
    <cfRule type="cellIs" dxfId="20" priority="1" operator="equal">
      <formula>"NOT RUN"</formula>
    </cfRule>
    <cfRule type="cellIs" dxfId="19" priority="2" operator="equal">
      <formula>"FAIL"</formula>
    </cfRule>
    <cfRule type="cellIs" dxfId="18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1BEF29-71B2-9740-8F62-8F5805CC55E4}">
          <x14:formula1>
            <xm:f>'Data Validation'!$A$1:$A$3</xm:f>
          </x14:formula1>
          <xm:sqref>G2:G6 G8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CD62E-80CC-44FC-95A9-8EF99FFB6BE1}">
  <sheetPr codeName="Sheet15">
    <tabColor indexed="50"/>
  </sheetPr>
  <dimension ref="A1:I11"/>
  <sheetViews>
    <sheetView showGridLines="0" topLeftCell="B1" workbookViewId="0">
      <pane ySplit="1" topLeftCell="A5" activePane="bottomLeft" state="frozen"/>
      <selection pane="bottomLeft" activeCell="D11" sqref="D11"/>
    </sheetView>
  </sheetViews>
  <sheetFormatPr baseColWidth="10" defaultColWidth="8.83203125" defaultRowHeight="15" x14ac:dyDescent="0.2"/>
  <cols>
    <col min="1" max="1" width="9" bestFit="1" customWidth="1"/>
    <col min="2" max="2" width="79.6640625" bestFit="1" customWidth="1"/>
    <col min="3" max="3" width="22.5" bestFit="1" customWidth="1"/>
    <col min="4" max="4" width="80.6640625" customWidth="1"/>
    <col min="5" max="5" width="18.6640625" bestFit="1" customWidth="1"/>
    <col min="6" max="6" width="15.5" bestFit="1" customWidth="1"/>
    <col min="7" max="7" width="10.1640625" bestFit="1" customWidth="1"/>
    <col min="8" max="8" width="15" customWidth="1"/>
    <col min="9" max="9" width="15.83203125" customWidth="1"/>
  </cols>
  <sheetData>
    <row r="1" spans="1:9" s="2" customFormat="1" ht="57.75" customHeight="1" x14ac:dyDescent="0.2">
      <c r="A1" s="32" t="s">
        <v>28</v>
      </c>
      <c r="B1" s="32" t="s">
        <v>29</v>
      </c>
      <c r="C1" s="32" t="s">
        <v>65</v>
      </c>
      <c r="D1" s="32" t="s">
        <v>66</v>
      </c>
      <c r="E1" s="32" t="s">
        <v>67</v>
      </c>
      <c r="F1" s="32" t="s">
        <v>31</v>
      </c>
      <c r="G1" s="32" t="s">
        <v>68</v>
      </c>
      <c r="H1" s="32" t="s">
        <v>69</v>
      </c>
      <c r="I1" s="32" t="s">
        <v>70</v>
      </c>
    </row>
    <row r="2" spans="1:9" ht="409.6" x14ac:dyDescent="0.2">
      <c r="A2" s="48">
        <v>1</v>
      </c>
      <c r="B2" s="56" t="s">
        <v>88</v>
      </c>
      <c r="C2" s="43" t="s">
        <v>73</v>
      </c>
      <c r="D2" s="53" t="s">
        <v>99</v>
      </c>
      <c r="E2" s="52"/>
      <c r="F2" s="52"/>
      <c r="G2" s="39"/>
      <c r="H2" s="9"/>
      <c r="I2" s="9"/>
    </row>
    <row r="3" spans="1:9" ht="380" x14ac:dyDescent="0.2">
      <c r="A3" s="48">
        <v>2</v>
      </c>
      <c r="B3" s="54" t="s">
        <v>79</v>
      </c>
      <c r="C3" s="46" t="s">
        <v>73</v>
      </c>
      <c r="D3" s="47" t="s">
        <v>98</v>
      </c>
      <c r="E3" s="52"/>
      <c r="F3" s="52"/>
      <c r="G3" s="39"/>
      <c r="H3" s="9"/>
      <c r="I3" s="9"/>
    </row>
    <row r="4" spans="1:9" ht="32" x14ac:dyDescent="0.2">
      <c r="A4" s="48">
        <v>3</v>
      </c>
      <c r="B4" s="61" t="s">
        <v>80</v>
      </c>
      <c r="C4" s="14"/>
      <c r="D4" s="47" t="s">
        <v>77</v>
      </c>
      <c r="E4" s="52"/>
      <c r="F4" s="52"/>
      <c r="G4" s="39"/>
      <c r="H4" s="9"/>
      <c r="I4" s="9"/>
    </row>
    <row r="5" spans="1:9" ht="380" x14ac:dyDescent="0.2">
      <c r="A5" s="48">
        <v>4</v>
      </c>
      <c r="B5" s="58" t="s">
        <v>33</v>
      </c>
      <c r="C5" s="59" t="s">
        <v>74</v>
      </c>
      <c r="D5" s="60" t="s">
        <v>100</v>
      </c>
      <c r="E5" s="52"/>
      <c r="F5" s="52"/>
      <c r="G5" s="39"/>
      <c r="H5" s="9"/>
      <c r="I5" s="9"/>
    </row>
    <row r="6" spans="1:9" ht="112" x14ac:dyDescent="0.2">
      <c r="A6" s="48">
        <v>5</v>
      </c>
      <c r="B6" s="58" t="s">
        <v>46</v>
      </c>
      <c r="C6" s="59" t="s">
        <v>74</v>
      </c>
      <c r="D6" s="49" t="s">
        <v>44</v>
      </c>
      <c r="E6" s="50"/>
      <c r="F6" s="50"/>
      <c r="G6" s="39"/>
      <c r="H6" s="9"/>
      <c r="I6" s="9"/>
    </row>
    <row r="7" spans="1:9" ht="380" x14ac:dyDescent="0.2">
      <c r="A7" s="48">
        <v>5</v>
      </c>
      <c r="B7" s="57" t="s">
        <v>122</v>
      </c>
      <c r="C7" s="59" t="s">
        <v>86</v>
      </c>
      <c r="D7" s="60" t="s">
        <v>116</v>
      </c>
      <c r="E7" s="50"/>
      <c r="F7" s="50"/>
      <c r="G7" s="39"/>
      <c r="H7" s="9"/>
      <c r="I7" s="9"/>
    </row>
    <row r="8" spans="1:9" s="41" customFormat="1" ht="409.6" x14ac:dyDescent="0.2">
      <c r="A8" s="41">
        <v>6</v>
      </c>
      <c r="B8" s="41" t="s">
        <v>94</v>
      </c>
      <c r="C8" s="73" t="s">
        <v>117</v>
      </c>
      <c r="D8" s="69" t="s">
        <v>118</v>
      </c>
      <c r="G8" s="69"/>
    </row>
    <row r="9" spans="1:9" ht="112" x14ac:dyDescent="0.2">
      <c r="A9" s="48">
        <v>5</v>
      </c>
      <c r="B9" s="58" t="s">
        <v>47</v>
      </c>
      <c r="C9" s="59" t="s">
        <v>74</v>
      </c>
      <c r="D9" s="49" t="s">
        <v>44</v>
      </c>
      <c r="E9" s="50"/>
      <c r="F9" s="50"/>
      <c r="G9" s="39"/>
      <c r="H9" s="9"/>
      <c r="I9" s="9"/>
    </row>
    <row r="10" spans="1:9" ht="380" x14ac:dyDescent="0.2">
      <c r="A10" s="48">
        <v>6</v>
      </c>
      <c r="B10" s="57" t="s">
        <v>123</v>
      </c>
      <c r="C10" s="59" t="s">
        <v>87</v>
      </c>
      <c r="D10" s="60" t="s">
        <v>119</v>
      </c>
      <c r="E10" s="50"/>
      <c r="F10" s="50"/>
      <c r="G10" s="39"/>
      <c r="H10" s="9"/>
      <c r="I10" s="9"/>
    </row>
    <row r="11" spans="1:9" s="41" customFormat="1" ht="409.6" x14ac:dyDescent="0.2">
      <c r="A11" s="41">
        <v>7</v>
      </c>
      <c r="B11" s="41" t="s">
        <v>94</v>
      </c>
      <c r="C11" s="73" t="s">
        <v>120</v>
      </c>
      <c r="D11" s="69" t="s">
        <v>121</v>
      </c>
      <c r="G11" s="69"/>
    </row>
  </sheetData>
  <conditionalFormatting sqref="G1">
    <cfRule type="cellIs" dxfId="17" priority="16" operator="equal">
      <formula>"NO RUN"</formula>
    </cfRule>
    <cfRule type="cellIs" dxfId="16" priority="17" operator="equal">
      <formula>"FAIL"</formula>
    </cfRule>
    <cfRule type="cellIs" dxfId="15" priority="18" operator="equal">
      <formula>"PASS"</formula>
    </cfRule>
  </conditionalFormatting>
  <conditionalFormatting sqref="G2:G5 G10 G7">
    <cfRule type="cellIs" dxfId="14" priority="13" operator="equal">
      <formula>"NOT RUN"</formula>
    </cfRule>
    <cfRule type="cellIs" dxfId="13" priority="14" operator="equal">
      <formula>"FAIL"</formula>
    </cfRule>
    <cfRule type="cellIs" dxfId="12" priority="15" operator="equal">
      <formula>"PASS"</formula>
    </cfRule>
  </conditionalFormatting>
  <conditionalFormatting sqref="G8">
    <cfRule type="cellIs" dxfId="11" priority="10" operator="equal">
      <formula>"NOT RUN"</formula>
    </cfRule>
    <cfRule type="cellIs" dxfId="10" priority="11" operator="equal">
      <formula>"FAIL"</formula>
    </cfRule>
    <cfRule type="cellIs" dxfId="9" priority="12" operator="equal">
      <formula>"PASS"</formula>
    </cfRule>
  </conditionalFormatting>
  <conditionalFormatting sqref="G11">
    <cfRule type="cellIs" dxfId="8" priority="7" operator="equal">
      <formula>"NOT RUN"</formula>
    </cfRule>
    <cfRule type="cellIs" dxfId="7" priority="8" operator="equal">
      <formula>"FAIL"</formula>
    </cfRule>
    <cfRule type="cellIs" dxfId="6" priority="9" operator="equal">
      <formula>"PASS"</formula>
    </cfRule>
  </conditionalFormatting>
  <conditionalFormatting sqref="G6">
    <cfRule type="cellIs" dxfId="5" priority="4" operator="equal">
      <formula>"NOT RUN"</formula>
    </cfRule>
    <cfRule type="cellIs" dxfId="4" priority="5" operator="equal">
      <formula>"FAIL"</formula>
    </cfRule>
    <cfRule type="cellIs" dxfId="3" priority="6" operator="equal">
      <formula>"PASS"</formula>
    </cfRule>
  </conditionalFormatting>
  <conditionalFormatting sqref="G9">
    <cfRule type="cellIs" dxfId="2" priority="1" operator="equal">
      <formula>"NOT RUN"</formula>
    </cfRule>
    <cfRule type="cellIs" dxfId="1" priority="2" operator="equal">
      <formula>"FAIL"</formula>
    </cfRule>
    <cfRule type="cellIs" dxfId="0" priority="3" operator="equal">
      <formula>"PASS"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4C9D27-CCFC-402D-AC0F-01FC9144B57C}">
          <x14:formula1>
            <xm:f>'Data Validation'!$A$1:$A$3</xm:f>
          </x14:formula1>
          <xm:sqref>G9:G10 G2:G7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7A60A-06E1-422D-9238-8F93DAA8389F}">
  <sheetPr codeName="Sheet16"/>
  <dimension ref="A1:C5"/>
  <sheetViews>
    <sheetView workbookViewId="0">
      <selection activeCell="B19" sqref="B19"/>
    </sheetView>
  </sheetViews>
  <sheetFormatPr baseColWidth="10" defaultColWidth="8.83203125" defaultRowHeight="15" x14ac:dyDescent="0.2"/>
  <sheetData>
    <row r="1" spans="1:3" x14ac:dyDescent="0.2">
      <c r="A1" s="4" t="s">
        <v>32</v>
      </c>
      <c r="C1" t="s">
        <v>56</v>
      </c>
    </row>
    <row r="2" spans="1:3" x14ac:dyDescent="0.2">
      <c r="A2" s="4" t="s">
        <v>34</v>
      </c>
      <c r="C2" t="s">
        <v>63</v>
      </c>
    </row>
    <row r="3" spans="1:3" x14ac:dyDescent="0.2">
      <c r="A3" t="s">
        <v>60</v>
      </c>
    </row>
    <row r="5" spans="1:3" x14ac:dyDescent="0.2">
      <c r="A5" t="s">
        <v>64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F5E9A8495D06144B87138ACC8919BA2" ma:contentTypeVersion="14" ma:contentTypeDescription="Create a new document." ma:contentTypeScope="" ma:versionID="c2715dd8a82c90c1119da31e94932c8c">
  <xsd:schema xmlns:xsd="http://www.w3.org/2001/XMLSchema" xmlns:xs="http://www.w3.org/2001/XMLSchema" xmlns:p="http://schemas.microsoft.com/office/2006/metadata/properties" xmlns:ns2="1189aa4d-f792-4f67-a16d-0451d9e7fd2e" xmlns:ns3="0f9b0cd3-ca20-4139-8e68-f40d0ef1d56f" targetNamespace="http://schemas.microsoft.com/office/2006/metadata/properties" ma:root="true" ma:fieldsID="ed3f904cca0100e66661686e1f6618da" ns2:_="" ns3:_="">
    <xsd:import namespace="1189aa4d-f792-4f67-a16d-0451d9e7fd2e"/>
    <xsd:import namespace="0f9b0cd3-ca20-4139-8e68-f40d0ef1d5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89aa4d-f792-4f67-a16d-0451d9e7fd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5472abc-7bad-4bfe-b49b-3e1fc3e3db6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9b0cd3-ca20-4139-8e68-f40d0ef1d56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009df8e-a0b8-41e0-9c00-35a510415c19}" ma:internalName="TaxCatchAll" ma:showField="CatchAllData" ma:web="0f9b0cd3-ca20-4139-8e68-f40d0ef1d56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" ma:index="21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0f9b0cd3-ca20-4139-8e68-f40d0ef1d56f">BANGO-1490062555-156162</_dlc_DocId>
    <_dlc_DocIdUrl xmlns="0f9b0cd3-ca20-4139-8e68-f40d0ef1d56f">
      <Url>https://bango365.sharepoint.com/sites/BangoDocumentShare/_layouts/15/DocIdRedir.aspx?ID=BANGO-1490062555-156162</Url>
      <Description>BANGO-1490062555-156162</Description>
    </_dlc_DocIdUrl>
    <lcf76f155ced4ddcb4097134ff3c332f xmlns="1189aa4d-f792-4f67-a16d-0451d9e7fd2e">
      <Terms xmlns="http://schemas.microsoft.com/office/infopath/2007/PartnerControls"/>
    </lcf76f155ced4ddcb4097134ff3c332f>
    <TaxCatchAll xmlns="0f9b0cd3-ca20-4139-8e68-f40d0ef1d56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CAAD874D-6956-43E7-A0EF-68FCEE45D7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89aa4d-f792-4f67-a16d-0451d9e7fd2e"/>
    <ds:schemaRef ds:uri="0f9b0cd3-ca20-4139-8e68-f40d0ef1d5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526F38-7BA0-4572-B7DD-B37043DFDCE9}">
  <ds:schemaRefs>
    <ds:schemaRef ds:uri="http://purl.org/dc/dcmitype/"/>
    <ds:schemaRef ds:uri="1189aa4d-f792-4f67-a16d-0451d9e7fd2e"/>
    <ds:schemaRef ds:uri="http://purl.org/dc/elements/1.1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0f9b0cd3-ca20-4139-8e68-f40d0ef1d56f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0E689EA-3ABC-473D-A7F6-76CF810630F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A377303-3A61-4534-875A-42399B16C779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Overview</vt:lpstr>
      <vt:lpstr>Tests Summary</vt:lpstr>
      <vt:lpstr>Echo</vt:lpstr>
      <vt:lpstr>Activate</vt:lpstr>
      <vt:lpstr>Double Activation</vt:lpstr>
      <vt:lpstr>Sync Reseller Product Update</vt:lpstr>
      <vt:lpstr>Async Reseller Product Update</vt:lpstr>
      <vt:lpstr>Sync Entitlement Cancel</vt:lpstr>
      <vt:lpstr>Async Entitlement Cancel</vt:lpstr>
      <vt:lpstr>Sync Entitlement Revoke</vt:lpstr>
      <vt:lpstr>Async Entitlement Revoke</vt:lpstr>
      <vt:lpstr>Sync Entitlement Suspend</vt:lpstr>
      <vt:lpstr>Async Entitlement Suspend</vt:lpstr>
      <vt:lpstr>Sync Entitlement Resume</vt:lpstr>
      <vt:lpstr>Async Entitlement Resume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Jamie Seabrook</dc:creator>
  <cp:keywords/>
  <dc:description/>
  <cp:lastModifiedBy>Tiago Heitor [PRT]</cp:lastModifiedBy>
  <cp:revision/>
  <dcterms:created xsi:type="dcterms:W3CDTF">2020-05-13T10:12:58Z</dcterms:created>
  <dcterms:modified xsi:type="dcterms:W3CDTF">2023-07-18T14:20:00Z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0x010100BF5E9A8495D06144B87138ACC8919BA2</vt:lpwstr>
  </property>
  <property fmtid="{D5CDD505-2E9C-101B-9397-08002B2CF9AE}" pid="3" name="_dlc_DocIdItemGuid">
    <vt:lpwstr>230a2154-97c1-4669-8df2-62c87a7b992f</vt:lpwstr>
  </property>
  <property fmtid="{D5CDD505-2E9C-101B-9397-08002B2CF9AE}" pid="4" name="MediaServiceImageTags">
    <vt:lpwstr/>
  </property>
</Properties>
</file>