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https://bango365.sharepoint.com/sites/BangoDocumentShare/Shared Documents/Delivery/Business Analysis/Bango Music/Merchant/"/>
    </mc:Choice>
  </mc:AlternateContent>
  <xr:revisionPtr revIDLastSave="1963" documentId="8_{EF028F48-28D7-4084-9773-E56F1C8A3329}" xr6:coauthVersionLast="47" xr6:coauthVersionMax="47" xr10:uidLastSave="{67448060-B2EB-7C43-8F59-49AD210E10B9}"/>
  <bookViews>
    <workbookView xWindow="0" yWindow="760" windowWidth="30240" windowHeight="17800" tabRatio="903" activeTab="4" xr2:uid="{C2DCF739-AC69-46A8-88EC-55CCEBE1CC0C}"/>
  </bookViews>
  <sheets>
    <sheet name="Data Validation" sheetId="7" state="hidden" r:id="rId1"/>
    <sheet name="Overview" sheetId="26" r:id="rId2"/>
    <sheet name="Tests Summary" sheetId="24" r:id="rId3"/>
    <sheet name="Echo" sheetId="8" r:id="rId4"/>
    <sheet name="Activate" sheetId="4" r:id="rId5"/>
    <sheet name="Sync Reseller Product Update" sheetId="10" r:id="rId6"/>
    <sheet name="Async Reseller Product Update" sheetId="15" r:id="rId7"/>
    <sheet name="Merchant Product Update" sheetId="20" r:id="rId8"/>
    <sheet name="Sync Termination Immediate" sheetId="14" r:id="rId9"/>
    <sheet name="Async Termination Immediate" sheetId="9" r:id="rId10"/>
    <sheet name="Merchant Termination" sheetId="13" r:id="rId11"/>
    <sheet name="Sync Termination EoBC" sheetId="21" r:id="rId12"/>
    <sheet name="Async Termination EoBC" sheetId="6" r:id="rId13"/>
    <sheet name="Suspend Sync" sheetId="17" r:id="rId14"/>
    <sheet name="Resume Sync" sheetId="18" r:id="rId15"/>
    <sheet name="Suspend Async" sheetId="23" r:id="rId16"/>
    <sheet name="Resume Async" sheetId="22" r:id="rId1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24" l="1"/>
  <c r="C16" i="24"/>
  <c r="C44" i="24"/>
  <c r="C43" i="24"/>
  <c r="C42" i="24"/>
  <c r="C41" i="24"/>
  <c r="C40" i="24"/>
  <c r="C39" i="24"/>
  <c r="C38" i="24"/>
  <c r="C37" i="24"/>
  <c r="C36" i="24"/>
  <c r="C35" i="24"/>
  <c r="C34" i="24"/>
  <c r="C33" i="24"/>
  <c r="C32" i="24"/>
  <c r="C31" i="24"/>
  <c r="F40" i="24" l="1"/>
  <c r="D39" i="24"/>
  <c r="D40" i="24"/>
  <c r="E40" i="24"/>
  <c r="F44" i="24"/>
  <c r="F43" i="24"/>
  <c r="F42" i="24"/>
  <c r="F39" i="24"/>
  <c r="F38" i="24"/>
  <c r="F37" i="24"/>
  <c r="F36" i="24"/>
  <c r="F33" i="24"/>
  <c r="F32" i="24"/>
  <c r="F31" i="24"/>
  <c r="F41" i="24"/>
  <c r="E33" i="24"/>
  <c r="D33" i="24"/>
  <c r="E32" i="24"/>
  <c r="D32" i="24"/>
  <c r="E31" i="24"/>
  <c r="D38" i="24"/>
  <c r="E38" i="24"/>
  <c r="F35" i="24"/>
  <c r="D35" i="24"/>
  <c r="E35" i="24"/>
  <c r="F34" i="24"/>
  <c r="E39" i="24"/>
  <c r="E41" i="24"/>
  <c r="D41" i="24"/>
  <c r="D42" i="24"/>
  <c r="E42" i="24"/>
  <c r="C24" i="24" s="1"/>
  <c r="E43" i="24"/>
  <c r="C25" i="24" s="1"/>
  <c r="D43" i="24"/>
  <c r="E44" i="24"/>
  <c r="C26" i="24" s="1"/>
  <c r="D44" i="24"/>
  <c r="E37" i="24"/>
  <c r="C19" i="24" s="1"/>
  <c r="D37" i="24"/>
  <c r="D36" i="24"/>
  <c r="E36" i="24"/>
  <c r="C18" i="24" s="1"/>
  <c r="E34" i="24"/>
  <c r="D34" i="24"/>
  <c r="C22" i="24" l="1"/>
  <c r="C20" i="24"/>
  <c r="C17" i="24"/>
  <c r="C21" i="24"/>
  <c r="C23" i="24"/>
  <c r="C15" i="24"/>
  <c r="C13" i="24"/>
  <c r="C14" i="24"/>
</calcChain>
</file>

<file path=xl/sharedStrings.xml><?xml version="1.0" encoding="utf-8"?>
<sst xmlns="http://schemas.openxmlformats.org/spreadsheetml/2006/main" count="399" uniqueCount="161">
  <si>
    <t>PASS</t>
  </si>
  <si>
    <t>YES</t>
  </si>
  <si>
    <t>FAIL</t>
  </si>
  <si>
    <t>NO</t>
  </si>
  <si>
    <t>NOT RUN</t>
  </si>
  <si>
    <t>Failed</t>
  </si>
  <si>
    <t>Merchant System Information</t>
  </si>
  <si>
    <t>Merchant Name</t>
  </si>
  <si>
    <t>Tester Name</t>
  </si>
  <si>
    <t>Date and Time of Document Completion (UTC)</t>
  </si>
  <si>
    <t>Merchant Platform(s) Used for Testing, with corresponding software versions</t>
  </si>
  <si>
    <t xml:space="preserve">Test Credentials </t>
  </si>
  <si>
    <t>Use the test reseller credentials provided by Bango if tests are performed in test environment or use the Merchant credentials provided by Bango if tests are performed in production environment. Use the same set of credentials throughout the test suite execution.</t>
  </si>
  <si>
    <t>Test Summary</t>
  </si>
  <si>
    <t>Test scenario</t>
  </si>
  <si>
    <t xml:space="preserve">Result </t>
  </si>
  <si>
    <t>Comments</t>
  </si>
  <si>
    <t>In Scope</t>
  </si>
  <si>
    <t>Echo</t>
  </si>
  <si>
    <t>Activate</t>
  </si>
  <si>
    <t>Sync Reseller Product Update</t>
  </si>
  <si>
    <t>Async Reseller Product Update</t>
  </si>
  <si>
    <t>Merchant Product Update</t>
  </si>
  <si>
    <t>Sync Termination Immediate</t>
  </si>
  <si>
    <t>Async Termination Immediate</t>
  </si>
  <si>
    <t>Merchant Termination</t>
  </si>
  <si>
    <t xml:space="preserve">Sync Termination EoBC </t>
  </si>
  <si>
    <t xml:space="preserve">Async Termination EoBC </t>
  </si>
  <si>
    <t xml:space="preserve">Suspend Sync </t>
  </si>
  <si>
    <t>Resume Sync</t>
  </si>
  <si>
    <t>Suspend Async</t>
  </si>
  <si>
    <t>Resume Async</t>
  </si>
  <si>
    <t>Test Scenario</t>
  </si>
  <si>
    <t>Total number of tests</t>
  </si>
  <si>
    <t>Sync Termination EoBC</t>
  </si>
  <si>
    <t xml:space="preserve">Resume Sync </t>
  </si>
  <si>
    <t>Bango Sign Off Information</t>
  </si>
  <si>
    <t>Business Analysts Sign Off</t>
  </si>
  <si>
    <t>Date</t>
  </si>
  <si>
    <t>Test No</t>
  </si>
  <si>
    <t>Test Case</t>
  </si>
  <si>
    <t>Status</t>
  </si>
  <si>
    <t>Expected Behavior</t>
  </si>
  <si>
    <t xml:space="preserve">Actual Behavior </t>
  </si>
  <si>
    <t>EntitlementId</t>
  </si>
  <si>
    <t>Test Results</t>
  </si>
  <si>
    <t>Comment</t>
  </si>
  <si>
    <t>Bango
BA Sign Off</t>
  </si>
  <si>
    <t>Use the Bango Merchant Interface API to send an echo request</t>
  </si>
  <si>
    <t xml:space="preserve"> </t>
  </si>
  <si>
    <t>Bango responds to Test Reseller with the following 
HTTP Code: 200 accepted 
{
  "response Code": "OK",
  "response Message": "Success",
  "echo": "a25100b8-4e0c-4e37-b921-cac9cb1e930f"
}</t>
  </si>
  <si>
    <t>Using the "Merchant Self Certification Postman collection"provided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</si>
  <si>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 xml:space="preserve"> "status": "PENDING"</t>
  </si>
  <si>
    <t>Bango responds to Reseller with the following 
HTTP Code: 202 accepted 
Bango responds to Reseller with activation URL for the Customer to be redirected
{
    "entitlementId": {{$guid}},
    "customerIdentifier": "{{$guid}},
    "productKey": "Product 1",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</si>
  <si>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Run the postman collection "Query Entitlement" to check the Status of the Entitlement</t>
  </si>
  <si>
    <t>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</si>
  <si>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r>
      <t>Navigate to the "A</t>
    </r>
    <r>
      <rPr>
        <b/>
        <sz val="11"/>
        <color theme="1"/>
        <rFont val="Calibri"/>
        <family val="2"/>
        <scheme val="minor"/>
      </rPr>
      <t xml:space="preserve">ctivation url" </t>
    </r>
    <r>
      <rPr>
        <sz val="11"/>
        <color theme="1"/>
        <rFont val="Calibri"/>
        <family val="2"/>
        <scheme val="minor"/>
      </rPr>
      <t>returned in the create entitlement response to login into Merchant site and fill in all the mandatory fields and click on signup/login button.</t>
    </r>
  </si>
  <si>
    <t xml:space="preserve"> Signup/Login successful on the merchant site</t>
  </si>
  <si>
    <t xml:space="preserve"> "status": "Active"</t>
  </si>
  <si>
    <t>Status activation complete with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</si>
  <si>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Expected Behaviour</t>
  </si>
  <si>
    <t xml:space="preserve">Actual Behaviour </t>
  </si>
  <si>
    <t>Using the "Merchant Self Certification Postman collection"provided create an entitlement
Service Flow : "Create Entitlement" with Product Key = Product 1
Using the postman collection provided to simulate a Reseller sending a request to Bango to create an entitlement; Bango generates an Entitlement Id and sends the Entitlement Id request to Merchant with product code =  Product 1</t>
  </si>
  <si>
    <t>Bango responds to Reseller with the following 
HTTP Code: 202 accepted 
Bango responds to Reseller with activationUrl for the Customer to be redirected
{
    "entitlementId": {{$guid}},
    "customerIdentifier": "{{$guid}},
    "productKey": "Product 1",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</si>
  <si>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Navigate to the "Activation url" returned in the create entitlement response to login into Merchant site and fill in all the mandatory fields and click on signup/login button.</t>
  </si>
  <si>
    <t>Status is still pending at this stage as activation using URL is not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</si>
  <si>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patch 'Update Entitlement' call from postman to update from "Product 1" to "Product 2" synchronously</t>
  </si>
  <si>
    <t xml:space="preserve">  "status": "ACTIVE"</t>
  </si>
  <si>
    <t>Bango responds to Reseller with the following 
HTTP Code: 200 accepted 
{
    "entitlementId": "{{$guid}}",
    "customerIdentifier": "{{$guid}}",
    "productKey": "Product2",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</si>
  <si>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Bango responds to Reseller with the following 
HTTP Code: 202 accepted 
Bango responds to Reseller with activationUrl for the Customer to be redirected
{
    "entitlementId": {{$guid}},
    "customerIdentifier": "{{$guid}},
    "productKey": "TBA",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</si>
  <si>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Navigate to the "Activation URL" returned in the create entitlement response to login into Merchant site and fill in all the mandatory fields and click on signup/login button.</t>
  </si>
  <si>
    <t xml:space="preserve">Run the postman collection "Query Entitlement" to check the Status of the Entitlement  </t>
  </si>
  <si>
    <t>Status activation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</si>
  <si>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 xml:space="preserve">Initiate an entitlement product update from the merchant portal using merchant credentials </t>
  </si>
  <si>
    <t>Bango responds to Reseller with the following 
HTTP Code: 200 accepted 
{
    "entitlementId": "{{$guid}}",
    "customerIdentifier": "{{$guid}}",
    "productKey": "{{New Product initated by Merchant}}",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</si>
  <si>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"Query Entitlement" to check the Status of the Entitlement and  "productKey" updated to "New Product Key"</t>
  </si>
  <si>
    <t xml:space="preserve">
{
    "entitlementId": "{{$guid}}",
    "customerIdentifier": "{{$guid}}",
    "productKey": "New Product Key",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</si>
  <si>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Date and Time (UTC)</t>
  </si>
  <si>
    <t xml:space="preserve">
Using the "Merchant Self Certification Postman collection" 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</si>
  <si>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 xml:space="preserve">
Run the postman collection named "Terminate Entitlement".
Check that the termination request has been received in the merchant platform and that the request has been immediately revoked.</t>
  </si>
  <si>
    <t xml:space="preserve">  "status": "REVOKED"</t>
  </si>
  <si>
    <t>Entitlement is revoked with HTTP Code:200 ok
{
    "entitlementId": " {{$guid}}",
    "customerIdentifier": " {{$guid}},
    "productKey": "BangoMusic",
    "entitlementDisplayName": null,
    "offerKey": null,
    "merchantAccountKey": "BANGO",
    "activationCode": " {{$guid}}",
    "dateCreated": "2022-10-12T15:51:46Z",
    "dateActivated": "0001-01-01T00:00:00Z",
    "dateEnded": "2022-10-12T15:50:58Z",
    "dateExpiry": "0001-01-01T00:00:00Z",
    "dateFailed": "0001-01-01T00:00:00Z",
    "dateSuspended": null,
    "dateResumed": null,
    "dateAutoSuspend": null,
    "responseCode": "OK",
    "responseMessage": "Success",
    "status": "REVOKED",
    "extensionData": null,
    "parameters": null
}</t>
  </si>
  <si>
    <t>Using the postman collection provided create an entitlement.
Service Flow : "Create Entitlement" with Product Key = Product 1
Using the postman collection provided to simulate a Reseller sending a request to Bango to create an entitlement; Bango generates an Entitlement Id and sends the Entitlement Id request to Merchant with product code =  Product 1</t>
  </si>
  <si>
    <t xml:space="preserve">  "status": "PENDING"</t>
  </si>
  <si>
    <t>Bango responds to Reseller with the following 
HTTP Code: 200 accepted 
Status is still pending at this stage as activation using URL is not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</si>
  <si>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"status": "Active"</t>
  </si>
  <si>
    <t>Run the patch 'Update Entitlement' call from postman to update from "Product 1" to "Product 2" asynchronously : product key updates to Product 2</t>
  </si>
  <si>
    <t>Bango responds to Reseller with the following 
HTTP Code: 202 accepted 
{
    "entitlementId": "{{$guid}}",
    "customerIdentifier": "{{$guid}}",
    "productKey": "Product1",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
Bango responds to Reseller with the following 
HTTP Code: 200 accepted 
{
    "entitlementId": "{{$guid}}",
    "customerIdentifier": "{{$guid}}",
    "productKey": "Product2",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</si>
  <si>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To check merchant platform has processed the product change asynchronously, using the postman collection provided 'Query Entitlement' to check Product key is updated to Product 2</t>
  </si>
  <si>
    <t xml:space="preserve">Expected Behaviour </t>
  </si>
  <si>
    <t>Using the "Merchant Self Certification Postman collection" 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</si>
  <si>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Login successful on the merchant site</t>
  </si>
  <si>
    <t>Bango responds to Reseller with the following 
HTTP Code: 200 accepted 
Status activation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</si>
  <si>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named "Terminate Entitlement".</t>
  </si>
  <si>
    <t>Immediate termination request received and actioned successfully in the merchant system and the async notification to Bango sent. 
{
    "entitlementId": "{{$guid}}",
    "customerIdentifier": "{{$guid}}",
    "productKey": "TBA",
    "entitlementDisplayName": null,
    "offerKey": null,
    "merchantAccountKey": "TBA",
    "activationCode": "{{$guid}}",
    "dateCreated": "2022-09-21T17:18:07Z",
    "dateActivated": "0001-01-01T00:00:00Z",
    "dateEnded": "2022-09-21T17:19:06Z",
    "dateExpiry": "0001-01-01T00:00:00Z",
    "dateFailed": "0001-01-01T00:00:00Z",
    "dateSuspended": null,
    "dateResumed": null,
    "dateAutoSuspend": null,
    "responseCode": "OK",
    "responseMessage": "Success",
    "status": "REVOKED",
    "extensionData": null,
    "parameters": null,
    "sharedCustomerId": "{{$guid}}"
}</t>
  </si>
  <si>
    <r>
      <t xml:space="preserve">Check that the termination request has been actioned immediately by Status changing from Active to 'REVOKED' by </t>
    </r>
    <r>
      <rPr>
        <b/>
        <sz val="11"/>
        <color theme="1"/>
        <rFont val="Calibri"/>
        <family val="2"/>
        <scheme val="minor"/>
      </rPr>
      <t xml:space="preserve">'Query Entitlement' </t>
    </r>
  </si>
  <si>
    <t xml:space="preserve">    "status": "REVOKED"</t>
  </si>
  <si>
    <t>Bango sends a TERMINATION_SUCCESS notification to the Reseller 
{
    "entitlementId": "{{$guid}}",
    "customerIdentifier": "{{$guid}}",
    "productKey": "BangoMusic",
    "entitlementDisplayName": null,
    "offerKey": null,
    "merchantAccountKey": "BANGO",
    "activationCode": "{{$guid}}",
    "dateCreated": "2022-09-21T17:18:07Z",
    "dateActivated": "2022-09-21T17:17:13Z",
    "dateEnded": "2022-09-21T17:19:06Z",
    "dateExpiry": "0001-01-01T00:00:00Z",
    "dateFailed": "0001-01-01T00:00:00Z",
    "dateSuspended": null,
    "dateResumed": null,
    "dateAutoSuspend": null,
    "responseCode": "OK",
    "responseMessage": "Success",
    "status": "REVOKED",
    "extensionData": null,
    "parameters": null,
    "sharedCustomerId": "{{$guid}}"
}</t>
  </si>
  <si>
    <t>Bango responds to Reseller with the following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</si>
  <si>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 xml:space="preserve"> "status": "ACTIVE"</t>
  </si>
  <si>
    <t xml:space="preserve">Merchant to send request to Bango </t>
  </si>
  <si>
    <t>{ 
"immediate": true, 
  "terminatedDate": "2019-10-14T15:34:49Z",
 "reasonCategory": "ACTIVATION_ROLLBACK", 
"reasonCode": "FRAUD", 
"reasonDescription": "Personal data stolen", 
 }</t>
  </si>
  <si>
    <t>Check the response from Bango to the Merchant Termination request</t>
  </si>
  <si>
    <t>Bango responds to Merchant with the following 
HTTP Code: 200 OK 
{
  "responseCode": "OK",
  "responseMessage": "Success",
  "requestId": "981a55a5-b3a4-46dc-9fac-a86227b26344",
  "bangoUserId": "1549053185",
  "productId": "30_DAYS_MUSIC",
  "offerId": "FREE_FOR_6_MONTHS",
  "resellerId": "XYZ_RESELLER",
  "customerId": "string",
  "status": "REVOKED",
  "dateCreated": "2022-12-20T13:14:44.899Z",
  "dateActivated": "2022-12-20T13:14:44.899Z",
  "dateExpiry": null,
  "dateEnded": "2022-12-20T13:14:44.899Z",
  "dateSuspended": null,
  "dateResumed": null,
  "dateAutoSuspend": null,
  "merchantExtensionData": {
    "merchantCustomData1": "merchantCustomDataValue1",
    "merchantCustomData2": "merchantCustomDataValue2",
    "merchantCustomData3": "merchantCustomDataValue3"
  }</t>
  </si>
  <si>
    <t xml:space="preserve"> "status": "REVOKED"</t>
  </si>
  <si>
    <t>Bango responds to Reseller with the following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"REVOKED",
    "extensionData": null,
    "parameters": null,
    "sharedCustomerId": "{{$guid}}"
}</t>
  </si>
  <si>
    <t>Bango responds to Reseller with the following 
HTTP Code: 200 accepted 
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</si>
  <si>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 xml:space="preserve">
Run the postman collection named "Terminate Entitlement"
Check that the termination request has been received in the merchant platform and that the request is being treated as an end of billing cycle request. 
</t>
  </si>
  <si>
    <t xml:space="preserve">  "status": "CANCELLED"</t>
  </si>
  <si>
    <t>Returns HTTP Code:200 Ok 
{
    "entitlementId": "cd9dd771-63fc-475c-928a-1e8bcc56c44a",
    "customerIdentifier": "94d90334-d6a0-438c-9aac-f5c26617e84e",
    "productKey": "BangoMusic",
    "entitlementDisplayName": null,
    "offerKey": null,
    "merchantAccountKey": "BANGO",
    "activationCode": "92987be8-db8d-48a9-a9ba-40027b836b13",
    "dateCreated": "2022-11-17T11:11:12Z",
    "dateActivated": "0001-01-01T00:00:00Z",
    "dateEnded": "0001-01-01T00:00:00Z",
    "dateExpiry": "0001-01-01T00:00:00Z",
    "dateFailed": "0001-01-01T00:00:00Z",
    "dateSuspended": null,
    "dateResumed": null,
    "dateAutoSuspend": null,
    "responseCode": "OK",
    "responseMessage": "Success",
    "status": "ACTIVE-ENDING",
    "extensionData": null,
   "parameters": null
}</t>
  </si>
  <si>
    <t>EoBC termination request has been processed and an async terminate request has been sent to Bango confirming the entitlement has ended on the merchant system. 
{
    "entitlementId": "8c3a2f6d-bfd2-4242-a700-7f679b83166d",
    "customerIdentifier": "79df63c0-da78-4b80-a823-cea19a79b559",
    "productKey": "BangoMusic",
    "entitlementDisplayName": null,
    "offerKey": null,
    "merchantAccountKey": "BANGO",
    "activationCode": "8286863c-5b6c-4d66-bf47-5da507fa68ca",
    "dateCreated": "2022-11-17T11:40:55Z",
    "dateActivated": "2022-11-17T11:40:38Z",
    "dateEnded": "2022-11-17T11:41:54Z",
    "dateExpiry": "0001-01-01T00:00:00Z",
    "dateFailed": "0001-01-01T00:00:00Z",
    "dateSuspended": null,
    "dateResumed": null,
    "dateAutoSuspend": null,
    "responseCode": "OK",
    "responseMessage": "Success",
    "status": "CANCELLED",
    "extensionData": null,
    "parameters": null
}</t>
  </si>
  <si>
    <r>
      <rPr>
        <sz val="11"/>
        <color rgb="FF000000"/>
        <rFont val="Calibri"/>
        <family val="2"/>
      </rPr>
      <t xml:space="preserve">Run the postman collection provided </t>
    </r>
    <r>
      <rPr>
        <b/>
        <sz val="11"/>
        <color rgb="FF000000"/>
        <rFont val="Calibri"/>
        <family val="2"/>
      </rPr>
      <t>"</t>
    </r>
    <r>
      <rPr>
        <sz val="11"/>
        <color rgb="FF000000"/>
        <rFont val="Calibri"/>
        <family val="2"/>
      </rPr>
      <t>Query  Entitlement</t>
    </r>
    <r>
      <rPr>
        <b/>
        <sz val="11"/>
        <color rgb="FF000000"/>
        <rFont val="Calibri"/>
        <family val="2"/>
      </rPr>
      <t>"</t>
    </r>
    <r>
      <rPr>
        <sz val="11"/>
        <color rgb="FF000000"/>
        <rFont val="Calibri"/>
        <family val="2"/>
      </rPr>
      <t xml:space="preserve"> to check  that the termination request has now been processed following the end of billing cycle completion.</t>
    </r>
  </si>
  <si>
    <t xml:space="preserve">    "status": "CANCELLED"</t>
  </si>
  <si>
    <t>Bango responds to Reseller with the following 
HTTP Code: 200 OK 
{
    "entitlementId": "{{$guid}}",
    "customerIdentifier": "{{$guid}}",
    "productKey": "BangoMusic",
    "entitlementDisplayName": null,
    "offerKey": null,
    "merchantAccountKey": "BANGO",
    "activationCode": "{{$guid}}",
    "dateCreated": "2022-09-21T17:18:07Z",
    "dateActivated": "2022-09-21T17:17:13Z",
    "dateEnded": "2022-09-21T17:19:06Z",
    "dateExpiry": "0001-01-01T00:00:00Z",
    "dateFailed": "0001-01-01T00:00:00Z",
    "dateSuspended": null,
    "dateResumed": null,
    "dateAutoSuspend": null,
    "responseCode": "OK",
    "responseMessage": "Success",
    "status": "CANCELLED",
    "extensionData": null,
    "parameters": null,
    "sharedCustomerId": "{{$guid}}"
}</t>
  </si>
  <si>
    <t xml:space="preserve">Run the postman collection named "Terminate Entitlement"
Check that the termination request has been received in the merchant platform and that the request is being treated as end of billing cycle request. </t>
  </si>
  <si>
    <t>Returns HTTP Code:202 Ok 
{
    "entitlementId": "cd9dd771-63fc-475c-928a-1e8bcc56c44a",
    "customerIdentifier": "94d90334-d6a0-438c-9aac-f5c26617e84e",
    "productKey": "BangoMusic",
    "entitlementDisplayName": null,
    "offerKey": null,
    "merchantAccountKey": "BANGO",
    "activationCode": "92987be8-db8d-48a9-a9ba-40027b836b13",
    "dateCreated": "2022-11-17T11:11:12Z",
    "dateActivated": "0001-01-01T00:00:00Z",
    "dateEnded": "0001-01-01T00:00:00Z",
    "dateExpiry": "0001-01-01T00:00:00Z",
    "dateFailed": "0001-01-01T00:00:00Z",
    "dateSuspended": null,
    "dateResumed": null,
    "dateAutoSuspend": null,
    "responseCode": "OK",
    "responseMessage": "Success",
    "status": "ACTIVE",
    "extensionData": null,
    "parameters": null
}</t>
  </si>
  <si>
    <t xml:space="preserve">Merchant sends terminate request to Bango </t>
  </si>
  <si>
    <t xml:space="preserve">  "status": "ACTIVE ENDING"</t>
  </si>
  <si>
    <t>{ 
"immediate": false, 
  "terminatedDate": "2019-10-14T15:34:49Z",
 "reasonCategory": "ACTIVATION_ROLLBACK", 
"reasonCode": "FRAUD", 
"reasonDescription": "Personal data stolen", 
"merchantExtensionData": {},
 "financeData": { "type": "order", "timestamp": "2022-12-20T13:13:52.725Z", "retailCurrency": "string", "retailPrice": 0, "retailPriceTax": 0, "offerPrice": 0, "offerPriceTax": 0, "notes": "string" }
 }</t>
  </si>
  <si>
    <t>In response to the merchant request, when the termination date arrives the entitlement will be cancelled</t>
  </si>
  <si>
    <t>Bango responds to Merchant with the following 
HTTP Code: 200 OK 
{
  "responseCode": "OK",
  "responseMessage": "Success",
  "requestId": "981a55a5-b3a4-46dc-9fac-a86227b26344",
  "bangoUserId": "1549053185",
  "productId": "30_DAYS_MUSIC",
  "offerId": "FREE_FOR_6_MONTHS",
  "resellerId": "XYZ_RESELLER",
  "customerId": "string",
  "status": "CANCELLED",
  "dateCreated": "2022-12-20T13:14:44.899Z",
  "dateActivated": "2022-12-20T13:14:44.899Z",
  "dateExpiry": null,
  "dateEnded": "2022-12-20T13:14:44.899Z",
  "dateSuspended": null,
  "dateResumed": null,
  "dateAutoSuspend": null,
  "merchantExtensionData": {
    "merchantCustomData1": "merchantCustomDataValue1",
    "merchantCustomData2": "merchantCustomDataValue2",
    "merchantCustomData3": "merchantCustomDataValue3"
  }</t>
  </si>
  <si>
    <t>"status": "CANCELLED"</t>
  </si>
  <si>
    <t>Bango responds to Reseller with the following 
HTTP Code: 200 accepted 
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"CANCELLED",
    "extensionData": null,
    "parameters": null,
    "sharedCustomerId": "{{$guid}}"
}</t>
  </si>
  <si>
    <t xml:space="preserve">Login successful on the merchant site(Eg. Perlego) </t>
  </si>
  <si>
    <t>Status activation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</si>
  <si>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"Suspend Entitlement" using PATCH Request and "entitlementId": "{{$guid}}",
"entitlementBenefits": "SUSPENDED" in the postman body</t>
  </si>
  <si>
    <t xml:space="preserve">  "status": "SUSPENDED"</t>
  </si>
  <si>
    <t>Bango responds to Reseller with the following 
HTTP Code: 200 accepted 
{
    "entitlementId": "{{$guid}}",
    "customerIdentifier": ""{{$guid}}",
    "productKey": "TBA",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</si>
  <si>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t>Run the postman collection provided send a Patch Request to "Suspend Entitlement" with "entitlementId": "{{$guid}}", and 
    "entitlementBenefits": "SUSPENDED" in the postman body</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</si>
  <si>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</si>
  <si>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t xml:space="preserve"> "status": "SUSPENDED"</t>
  </si>
  <si>
    <t>Status is in suspended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"SUSPENDED",
    "extensionData": null,
    "parameters": null,
    "sharedCustomerId": "{{$guid}}"
}</t>
  </si>
  <si>
    <r>
      <rPr>
        <sz val="11"/>
        <color rgb="FF000000"/>
        <rFont val="Calibri"/>
        <family val="2"/>
      </rPr>
      <t xml:space="preserve">Using the postman collection provided send a Patch Request to </t>
    </r>
    <r>
      <rPr>
        <b/>
        <sz val="11"/>
        <color rgb="FF000000"/>
        <rFont val="Calibri"/>
        <family val="2"/>
      </rPr>
      <t xml:space="preserve">"Resume Entitlement"  </t>
    </r>
    <r>
      <rPr>
        <sz val="11"/>
        <color rgb="FF000000"/>
        <rFont val="Calibri"/>
        <family val="2"/>
      </rPr>
      <t>with  "entitlementId": "{{$guid}}", and
    "entitlementBenefits": "NORMAL" in the postman body</t>
    </r>
  </si>
  <si>
    <t xml:space="preserve">  "status": "Active"</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</si>
  <si>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t>
  </si>
  <si>
    <r>
      <rPr>
        <sz val="11"/>
        <color rgb="FF000000"/>
        <rFont val="Calibri"/>
        <family val="2"/>
      </rPr>
      <t xml:space="preserve">Using the postman collection provided send a Patch Request to </t>
    </r>
    <r>
      <rPr>
        <b/>
        <sz val="11"/>
        <color rgb="FF000000"/>
        <rFont val="Calibri"/>
        <family val="2"/>
      </rPr>
      <t>"Suspend Entitlement"</t>
    </r>
    <r>
      <rPr>
        <sz val="11"/>
        <color rgb="FF000000"/>
        <rFont val="Calibri"/>
        <family val="2"/>
      </rPr>
      <t>with "entitlementId": "{{$guid}}", and
    "entitlementBenefits": "SUSPENDED" in the postman body</t>
    </r>
  </si>
  <si>
    <t xml:space="preserve">  "status": "ACTIVE" - 202
Status :  HTTP Code: 202 accepted and HTTP Code: 200 accepted  </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</si>
  <si>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
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</si>
  <si>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r>
      <rPr>
        <sz val="11"/>
        <color rgb="FF000000"/>
        <rFont val="Calibri"/>
        <family val="2"/>
      </rPr>
      <t>Navigate to the "A</t>
    </r>
    <r>
      <rPr>
        <b/>
        <sz val="11"/>
        <color rgb="FF000000"/>
        <rFont val="Calibri"/>
        <family val="2"/>
      </rPr>
      <t xml:space="preserve">ctivation url" </t>
    </r>
    <r>
      <rPr>
        <sz val="11"/>
        <color rgb="FF000000"/>
        <rFont val="Calibri"/>
        <family val="2"/>
      </rPr>
      <t>returned in the create entitlement response to login into Merchant site and fill in all the mandatory fields and click on signup/login button.</t>
    </r>
  </si>
  <si>
    <r>
      <rPr>
        <sz val="11"/>
        <color rgb="FF000000"/>
        <rFont val="Calibri"/>
        <family val="2"/>
      </rPr>
      <t>Using the postman collection provided send a Patch Request to "Suspend Entitlement" with</t>
    </r>
    <r>
      <rPr>
        <b/>
        <sz val="11"/>
        <color rgb="FF000000"/>
        <rFont val="Calibri"/>
        <family val="2"/>
      </rPr>
      <t xml:space="preserve"> </t>
    </r>
    <r>
      <rPr>
        <sz val="11"/>
        <color rgb="FF000000"/>
        <rFont val="Calibri"/>
        <family val="2"/>
      </rPr>
      <t>"entitlementId": "{{$guid}}", and
    "entitlementBenefits": "SUSPENDED" in the postman body</t>
    </r>
  </si>
  <si>
    <t xml:space="preserve">  "status": "ACTIVE" - 202
Status :  HTTP Code: 202 accepted and HTTP Code: 200 accepted </t>
  </si>
  <si>
    <r>
      <rPr>
        <sz val="11"/>
        <color rgb="FF000000"/>
        <rFont val="Calibri"/>
        <family val="2"/>
      </rPr>
      <t xml:space="preserve">Using the postman collection provided send a Patch Request to </t>
    </r>
    <r>
      <rPr>
        <b/>
        <sz val="11"/>
        <color rgb="FF000000"/>
        <rFont val="Calibri"/>
        <family val="2"/>
      </rPr>
      <t xml:space="preserve">"Resume Entitlement" </t>
    </r>
    <r>
      <rPr>
        <sz val="11"/>
        <color rgb="FF000000"/>
        <rFont val="Calibri"/>
        <family val="2"/>
      </rPr>
      <t>with "entitlementId": "{{$guid}}", and 
    "entitlementBenefits": "NORMAL" in the postman body</t>
    </r>
  </si>
  <si>
    <t xml:space="preserve">"status": "ACTIVE" - 202
Status :  HTTP Code: 202 accepted and HTTP Code: 200 accepted </t>
  </si>
  <si>
    <t>Bango responds to Reseller with the following 
HTTP Code: 202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
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t>
  </si>
  <si>
    <t>{
    "entitlementId": "8ab4d6f6-d5e8-4fd8-a859-6a29ff34f802",
    "customerIdentifier": "f73a40ef-f445-407e-bde4-9adb86f615fd",
    "productKey": "BangoMusic",
    "entitlementDisplayName": null,
    "offerKey": null,
    "merchantAccountKey": "BANGO",
    "activationCode": "231e1157-d4a1-419d-9880-63d9cc9e6272",
    "dateCreated": "2022-10-13T10:06:35Z",
    "dateActivated": "2022-10-13T10:05:17Z",
    "dateEnded": "0001-01-01T00:00:00Z",
    "dateExpiry": "0001-01-01T00:00:00Z",
    "dateFailed": "0001-01-01T00:00:00Z",
    "dateSuspended": "2022-10-13T10:05:27Z",
    "dateResumed": "2022-10-13T10:05:37Z",
    "dateAutoSuspend": null,
    "responseCode": "OK",
    "responseMessage": "Success",
    "status": "ACTIVE",
    "extensionData": null,
    "parameters": null
}</t>
  </si>
  <si>
    <t xml:space="preserve">3.	Basic Authentication (https://developer.bango.com/platform/connectivity/) </t>
  </si>
  <si>
    <t xml:space="preserve">2.	IP addresses for the reseller systems provided and whitelisted on Bango system </t>
  </si>
  <si>
    <t>1.	Valid Bango Resale API username and password for a Bango test account</t>
  </si>
  <si>
    <t xml:space="preserve">Certification Process Prerequisites </t>
  </si>
  <si>
    <t>3.	Bango checks the test results against the Bango Platform logs</t>
  </si>
  <si>
    <t>Certification Steps</t>
  </si>
  <si>
    <t>Document Outcome</t>
  </si>
  <si>
    <t>Document Purpose</t>
  </si>
  <si>
    <t xml:space="preserve">This document is provided to the merchant to use as a minimum test plan for the merchant to self-certify the connection between the merchant and Bango systems. </t>
  </si>
  <si>
    <t xml:space="preserve">The merchant must complete the self-certification tests and fill in this document and send it to Bango (email: support@bango.com). When Bango have reviewed the completed document, Bango will provide the relevant feedback or certification for the merchant connection. </t>
  </si>
  <si>
    <t>1.	Merchant completes all testing outlined in this document</t>
  </si>
  <si>
    <t>2.	Merchant documents all test results in this document and sends results to Bango</t>
  </si>
  <si>
    <t>4.	Bango signs off the merchant as Bango Certified and confirms this to the merchant</t>
  </si>
  <si>
    <t>Test Reseller</t>
  </si>
  <si>
    <t xml:space="preserve">Test Reseller is a reseller provided by Bango which allows merchants to test their connect with Bango Resale. </t>
  </si>
  <si>
    <t>A postman collection and postman environment are provided alongside this certification document and are needed to successfully execute the certification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</si>
</sst>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2"/>
      <color theme="1"/>
      <name val="Calibri"/>
      <family val="2"/>
      <scheme val="minor"/>
    </font>
    <font>
      <sz val="11"/>
      <color theme="1"/>
      <name val="Calibri"/>
      <family val="2"/>
      <scheme val="minor"/>
    </font>
    <font>
      <b/>
      <sz val="13"/>
      <color theme="3"/>
      <name val="Calibri"/>
      <family val="2"/>
      <scheme val="minor"/>
    </font>
    <font>
      <b/>
      <sz val="15"/>
      <color theme="3"/>
      <name val="Calibri"/>
      <family val="2"/>
      <scheme val="minor"/>
    </font>
    <font>
      <sz val="11"/>
      <color rgb="FF000000"/>
      <name val="Calibri"/>
      <family val="2"/>
      <scheme val="minor"/>
    </font>
    <font>
      <b/>
      <sz val="11"/>
      <color theme="1"/>
      <name val="Calibri"/>
      <family val="2"/>
      <scheme val="minor"/>
    </font>
    <font>
      <b/>
      <sz val="13"/>
      <name val="Calibri"/>
      <family val="2"/>
      <scheme val="minor"/>
    </font>
    <font>
      <sz val="11"/>
      <name val="Calibri"/>
      <family val="2"/>
      <scheme val="minor"/>
    </font>
    <font>
      <b/>
      <sz val="15"/>
      <name val="Calibri"/>
      <family val="2"/>
      <scheme val="minor"/>
    </font>
    <font>
      <b/>
      <sz val="11"/>
      <color theme="1"/>
      <name val="Calibri Light"/>
      <family val="2"/>
      <scheme val="major"/>
    </font>
    <font>
      <sz val="11"/>
      <color rgb="FF000000"/>
      <name val="Calibri"/>
      <family val="2"/>
    </font>
    <font>
      <sz val="11"/>
      <color theme="1"/>
      <name val="Calibri"/>
      <family val="2"/>
    </font>
    <font>
      <b/>
      <sz val="11"/>
      <color rgb="FF000000"/>
      <name val="Calibri"/>
      <family val="2"/>
    </font>
    <font>
      <sz val="11"/>
      <color rgb="FF444444"/>
      <name val="Calibri"/>
      <family val="2"/>
      <charset val="1"/>
    </font>
    <font>
      <sz val="11"/>
      <color rgb="FF333333"/>
      <name val="Menlo"/>
      <family val="2"/>
    </font>
    <font>
      <b/>
      <sz val="11"/>
      <color rgb="FF000000"/>
      <name val="Calibri"/>
      <family val="2"/>
      <scheme val="minor"/>
    </font>
  </fonts>
  <fills count="5">
    <fill>
      <patternFill patternType="none"/>
    </fill>
    <fill>
      <patternFill patternType="gray125"/>
    </fill>
    <fill>
      <patternFill patternType="solid">
        <fgColor theme="4" tint="0.79998168889431442"/>
        <bgColor indexed="65"/>
      </patternFill>
    </fill>
    <fill>
      <patternFill patternType="solid">
        <fgColor rgb="FFFFFFFF"/>
        <bgColor indexed="64"/>
      </patternFill>
    </fill>
    <fill>
      <patternFill patternType="solid">
        <fgColor rgb="FFC8E9E9"/>
        <bgColor indexed="64"/>
      </patternFill>
    </fill>
  </fills>
  <borders count="24">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rgb="FF000000"/>
      </bottom>
      <diagonal/>
    </border>
    <border>
      <left style="thin">
        <color rgb="FF000000"/>
      </left>
      <right style="thin">
        <color rgb="FF000000"/>
      </right>
      <top/>
      <bottom/>
      <diagonal/>
    </border>
    <border>
      <left style="thin">
        <color indexed="64"/>
      </left>
      <right/>
      <top style="thin">
        <color indexed="64"/>
      </top>
      <bottom style="thin">
        <color rgb="FF000000"/>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rgb="FF000000"/>
      </right>
      <top style="thin">
        <color rgb="FF000000"/>
      </top>
      <bottom style="thin">
        <color rgb="FF000000"/>
      </bottom>
      <diagonal/>
    </border>
  </borders>
  <cellStyleXfs count="4">
    <xf numFmtId="0" fontId="0" fillId="0" borderId="0"/>
    <xf numFmtId="0" fontId="3" fillId="0" borderId="1" applyNumberFormat="0" applyFill="0" applyAlignment="0" applyProtection="0"/>
    <xf numFmtId="0" fontId="4" fillId="0" borderId="3" applyNumberFormat="0" applyFill="0" applyAlignment="0" applyProtection="0"/>
    <xf numFmtId="0" fontId="2" fillId="2" borderId="0" applyNumberFormat="0" applyBorder="0" applyAlignment="0" applyProtection="0"/>
  </cellStyleXfs>
  <cellXfs count="136">
    <xf numFmtId="0" fontId="0" fillId="0" borderId="0" xfId="0"/>
    <xf numFmtId="0" fontId="0" fillId="0" borderId="0" xfId="0" applyAlignment="1">
      <alignment wrapText="1"/>
    </xf>
    <xf numFmtId="0" fontId="0" fillId="0" borderId="0" xfId="0" applyAlignment="1">
      <alignment vertical="top"/>
    </xf>
    <xf numFmtId="0" fontId="5" fillId="0" borderId="0" xfId="0" applyFont="1"/>
    <xf numFmtId="0" fontId="0" fillId="0" borderId="0" xfId="0" applyAlignment="1">
      <alignment vertical="top" wrapText="1"/>
    </xf>
    <xf numFmtId="0" fontId="2" fillId="2" borderId="2" xfId="3" applyBorder="1" applyAlignment="1">
      <alignment vertical="top" wrapText="1"/>
    </xf>
    <xf numFmtId="0" fontId="2" fillId="2" borderId="0" xfId="3" applyBorder="1" applyAlignment="1">
      <alignment vertical="top" wrapText="1"/>
    </xf>
    <xf numFmtId="0" fontId="0" fillId="0" borderId="2" xfId="0" applyBorder="1" applyAlignment="1">
      <alignment vertical="top"/>
    </xf>
    <xf numFmtId="0" fontId="0" fillId="0" borderId="0" xfId="0" applyAlignment="1">
      <alignment horizontal="left" vertical="top"/>
    </xf>
    <xf numFmtId="0" fontId="8" fillId="0" borderId="2" xfId="3" applyFont="1" applyFill="1" applyBorder="1" applyAlignment="1">
      <alignment vertical="top" wrapText="1"/>
    </xf>
    <xf numFmtId="0" fontId="8" fillId="0" borderId="8" xfId="3" applyFont="1" applyFill="1" applyBorder="1" applyAlignment="1">
      <alignment vertical="top" wrapText="1"/>
    </xf>
    <xf numFmtId="0" fontId="8" fillId="0" borderId="2" xfId="0" applyFont="1" applyBorder="1" applyAlignment="1">
      <alignment vertical="center" wrapText="1"/>
    </xf>
    <xf numFmtId="0" fontId="2" fillId="0" borderId="2" xfId="3" applyFill="1" applyBorder="1" applyAlignment="1">
      <alignment vertical="top" wrapText="1"/>
    </xf>
    <xf numFmtId="0" fontId="2" fillId="0" borderId="2" xfId="3" applyFill="1" applyBorder="1" applyAlignment="1">
      <alignment vertical="top"/>
    </xf>
    <xf numFmtId="0" fontId="0" fillId="0" borderId="8" xfId="0" applyBorder="1" applyAlignment="1">
      <alignment vertical="center" wrapText="1"/>
    </xf>
    <xf numFmtId="0" fontId="0" fillId="0" borderId="2" xfId="0" applyBorder="1" applyAlignment="1">
      <alignment vertical="top" wrapText="1"/>
    </xf>
    <xf numFmtId="0" fontId="0" fillId="0" borderId="2" xfId="3" applyFont="1" applyFill="1" applyBorder="1" applyAlignment="1">
      <alignment vertical="top" wrapText="1"/>
    </xf>
    <xf numFmtId="0" fontId="0" fillId="0" borderId="2" xfId="0" applyBorder="1" applyAlignment="1">
      <alignment vertical="center" wrapText="1"/>
    </xf>
    <xf numFmtId="0" fontId="0" fillId="0" borderId="2" xfId="0" applyBorder="1" applyAlignment="1">
      <alignment horizontal="center" vertical="center"/>
    </xf>
    <xf numFmtId="0" fontId="8" fillId="0" borderId="0" xfId="0" applyFont="1" applyAlignment="1">
      <alignment vertical="top" wrapText="1"/>
    </xf>
    <xf numFmtId="0" fontId="0" fillId="0" borderId="5" xfId="3" applyFont="1" applyFill="1" applyBorder="1" applyAlignment="1">
      <alignment vertical="top" wrapText="1"/>
    </xf>
    <xf numFmtId="0" fontId="0" fillId="0" borderId="8" xfId="0" applyBorder="1" applyAlignment="1">
      <alignment vertical="top" wrapText="1"/>
    </xf>
    <xf numFmtId="0" fontId="2" fillId="0" borderId="4" xfId="3" applyFill="1" applyBorder="1" applyAlignment="1">
      <alignment vertical="top" wrapText="1"/>
    </xf>
    <xf numFmtId="0" fontId="0" fillId="0" borderId="4" xfId="3" applyFont="1" applyFill="1" applyBorder="1" applyAlignment="1">
      <alignment vertical="top" wrapText="1"/>
    </xf>
    <xf numFmtId="0" fontId="2" fillId="0" borderId="5" xfId="3" applyFill="1" applyBorder="1" applyAlignment="1">
      <alignment vertical="top" wrapText="1"/>
    </xf>
    <xf numFmtId="0" fontId="0" fillId="0" borderId="2" xfId="0" applyBorder="1" applyAlignment="1">
      <alignment horizontal="left" vertical="center" wrapText="1"/>
    </xf>
    <xf numFmtId="0" fontId="2" fillId="0" borderId="2" xfId="3" applyFill="1" applyBorder="1" applyAlignment="1">
      <alignment horizontal="left" vertical="top"/>
    </xf>
    <xf numFmtId="0" fontId="0" fillId="0" borderId="8" xfId="3" applyFont="1" applyFill="1" applyBorder="1" applyAlignment="1">
      <alignment vertical="top" wrapText="1"/>
    </xf>
    <xf numFmtId="0" fontId="2" fillId="0" borderId="8" xfId="3" applyFill="1" applyBorder="1" applyAlignment="1">
      <alignment vertical="top"/>
    </xf>
    <xf numFmtId="0" fontId="2" fillId="0" borderId="8" xfId="3" applyFill="1" applyBorder="1" applyAlignment="1">
      <alignment vertical="top" wrapText="1"/>
    </xf>
    <xf numFmtId="0" fontId="2" fillId="0" borderId="2" xfId="3" applyFill="1" applyBorder="1" applyAlignment="1">
      <alignment vertical="center" wrapText="1"/>
    </xf>
    <xf numFmtId="0" fontId="2" fillId="0" borderId="2" xfId="3" applyFill="1" applyBorder="1" applyAlignment="1">
      <alignment vertical="center"/>
    </xf>
    <xf numFmtId="0" fontId="0" fillId="0" borderId="2" xfId="0" applyBorder="1" applyAlignment="1">
      <alignment horizontal="center"/>
    </xf>
    <xf numFmtId="0" fontId="12" fillId="0" borderId="2" xfId="3" applyFont="1" applyFill="1" applyBorder="1" applyAlignment="1">
      <alignment vertical="top" wrapText="1"/>
    </xf>
    <xf numFmtId="0" fontId="0" fillId="0" borderId="4" xfId="0" applyBorder="1" applyAlignment="1">
      <alignment horizontal="center" vertical="top"/>
    </xf>
    <xf numFmtId="0" fontId="2" fillId="0" borderId="4" xfId="3" applyFill="1" applyBorder="1" applyAlignment="1">
      <alignment horizontal="center" vertical="top"/>
    </xf>
    <xf numFmtId="0" fontId="0" fillId="0" borderId="2" xfId="3" applyFont="1" applyFill="1" applyBorder="1" applyAlignment="1">
      <alignment vertical="center" wrapText="1"/>
    </xf>
    <xf numFmtId="0" fontId="2" fillId="0" borderId="4" xfId="3" applyFill="1" applyBorder="1" applyAlignment="1">
      <alignment horizontal="left" vertical="top" wrapText="1"/>
    </xf>
    <xf numFmtId="0" fontId="11" fillId="0" borderId="2" xfId="0" applyFont="1" applyBorder="1" applyAlignment="1">
      <alignment vertical="center" wrapText="1"/>
    </xf>
    <xf numFmtId="0" fontId="2" fillId="0" borderId="2" xfId="3" applyFill="1" applyBorder="1" applyAlignment="1">
      <alignment horizontal="center" vertical="center"/>
    </xf>
    <xf numFmtId="0" fontId="11" fillId="0" borderId="2" xfId="3" applyFont="1" applyFill="1" applyBorder="1" applyAlignment="1">
      <alignment vertical="center" wrapText="1"/>
    </xf>
    <xf numFmtId="0" fontId="8" fillId="0" borderId="8" xfId="3" applyFont="1" applyFill="1" applyBorder="1" applyAlignment="1">
      <alignment vertical="center" wrapText="1"/>
    </xf>
    <xf numFmtId="0" fontId="2" fillId="0" borderId="4" xfId="3" applyFill="1" applyBorder="1" applyAlignment="1">
      <alignment vertical="top"/>
    </xf>
    <xf numFmtId="0" fontId="11" fillId="0" borderId="4" xfId="3" applyFont="1" applyFill="1" applyBorder="1" applyAlignment="1">
      <alignment vertical="center" wrapText="1"/>
    </xf>
    <xf numFmtId="0" fontId="2" fillId="0" borderId="4" xfId="3" applyFill="1" applyBorder="1" applyAlignment="1">
      <alignment horizontal="center" vertical="center"/>
    </xf>
    <xf numFmtId="0" fontId="2" fillId="0" borderId="16" xfId="3" applyFill="1" applyBorder="1" applyAlignment="1">
      <alignment vertical="center" wrapText="1"/>
    </xf>
    <xf numFmtId="0" fontId="2" fillId="0" borderId="4" xfId="3" applyFill="1" applyBorder="1" applyAlignment="1">
      <alignment vertical="center"/>
    </xf>
    <xf numFmtId="0" fontId="2" fillId="0" borderId="17" xfId="3" applyFill="1" applyBorder="1" applyAlignment="1">
      <alignment vertical="center" wrapText="1"/>
    </xf>
    <xf numFmtId="0" fontId="11" fillId="0" borderId="17" xfId="3" applyFont="1" applyFill="1" applyBorder="1" applyAlignment="1">
      <alignment vertical="center" wrapText="1"/>
    </xf>
    <xf numFmtId="0" fontId="2" fillId="0" borderId="17" xfId="3" applyFill="1" applyBorder="1" applyAlignment="1">
      <alignment vertical="top" wrapText="1"/>
    </xf>
    <xf numFmtId="0" fontId="2" fillId="0" borderId="17" xfId="3" applyFill="1" applyBorder="1" applyAlignment="1">
      <alignment vertical="top"/>
    </xf>
    <xf numFmtId="0" fontId="2" fillId="2" borderId="14" xfId="3" applyBorder="1" applyAlignment="1">
      <alignment vertical="top" wrapText="1"/>
    </xf>
    <xf numFmtId="0" fontId="0" fillId="0" borderId="5" xfId="0" applyBorder="1" applyAlignment="1">
      <alignment vertical="center" wrapText="1"/>
    </xf>
    <xf numFmtId="0" fontId="0" fillId="0" borderId="9" xfId="0" applyBorder="1" applyAlignment="1">
      <alignment vertical="center" wrapText="1"/>
    </xf>
    <xf numFmtId="0" fontId="2" fillId="0" borderId="16" xfId="3" applyFill="1" applyBorder="1" applyAlignment="1">
      <alignment vertical="top" wrapText="1"/>
    </xf>
    <xf numFmtId="0" fontId="0" fillId="0" borderId="16" xfId="3" applyFont="1" applyFill="1" applyBorder="1" applyAlignment="1">
      <alignment vertical="center" wrapText="1"/>
    </xf>
    <xf numFmtId="0" fontId="0" fillId="0" borderId="8" xfId="3" applyFont="1" applyFill="1" applyBorder="1" applyAlignment="1">
      <alignment vertical="center" wrapText="1"/>
    </xf>
    <xf numFmtId="0" fontId="0" fillId="0" borderId="8" xfId="3" applyFont="1" applyFill="1" applyBorder="1" applyAlignment="1">
      <alignment horizontal="left" vertical="center" wrapText="1"/>
    </xf>
    <xf numFmtId="0" fontId="0" fillId="0" borderId="5" xfId="0" applyBorder="1"/>
    <xf numFmtId="0" fontId="2" fillId="0" borderId="5" xfId="3" applyFill="1" applyBorder="1" applyAlignment="1">
      <alignment horizontal="left" vertical="center" wrapText="1"/>
    </xf>
    <xf numFmtId="0" fontId="2" fillId="0" borderId="5" xfId="3" applyFill="1" applyBorder="1" applyAlignment="1">
      <alignment horizontal="center" vertical="center" wrapText="1"/>
    </xf>
    <xf numFmtId="0" fontId="2" fillId="0" borderId="5" xfId="3" applyFill="1" applyBorder="1" applyAlignment="1">
      <alignment horizontal="center" vertical="top"/>
    </xf>
    <xf numFmtId="0" fontId="11" fillId="0" borderId="2" xfId="3" applyFont="1" applyFill="1" applyBorder="1" applyAlignment="1">
      <alignment vertical="top"/>
    </xf>
    <xf numFmtId="0" fontId="0" fillId="0" borderId="5" xfId="0" applyBorder="1" applyAlignment="1">
      <alignment vertical="top" wrapText="1"/>
    </xf>
    <xf numFmtId="0" fontId="2" fillId="3" borderId="2" xfId="3" applyFill="1" applyBorder="1" applyAlignment="1">
      <alignment vertical="top" wrapText="1"/>
    </xf>
    <xf numFmtId="0" fontId="2" fillId="2" borderId="20" xfId="3" applyBorder="1" applyAlignment="1">
      <alignment vertical="top" wrapText="1"/>
    </xf>
    <xf numFmtId="0" fontId="2" fillId="2" borderId="6" xfId="3" applyBorder="1" applyAlignment="1">
      <alignment vertical="top" wrapText="1"/>
    </xf>
    <xf numFmtId="0" fontId="11" fillId="0" borderId="2" xfId="3" applyFont="1" applyFill="1" applyBorder="1" applyAlignment="1">
      <alignment vertical="top" wrapText="1"/>
    </xf>
    <xf numFmtId="0" fontId="2" fillId="0" borderId="19" xfId="3" applyFill="1" applyBorder="1" applyAlignment="1">
      <alignment vertical="center" wrapText="1"/>
    </xf>
    <xf numFmtId="0" fontId="14" fillId="0" borderId="0" xfId="0" quotePrefix="1" applyFont="1"/>
    <xf numFmtId="0" fontId="2" fillId="0" borderId="0" xfId="3" applyFill="1" applyBorder="1" applyAlignment="1">
      <alignment vertical="top"/>
    </xf>
    <xf numFmtId="0" fontId="15" fillId="0" borderId="0" xfId="0" applyFont="1"/>
    <xf numFmtId="0" fontId="0" fillId="0" borderId="2" xfId="3" applyFont="1" applyFill="1" applyBorder="1" applyAlignment="1">
      <alignment horizontal="center"/>
    </xf>
    <xf numFmtId="0" fontId="2" fillId="0" borderId="7" xfId="3" applyFill="1" applyBorder="1" applyAlignment="1">
      <alignment vertical="top"/>
    </xf>
    <xf numFmtId="0" fontId="2" fillId="0" borderId="10" xfId="3" applyFill="1" applyBorder="1" applyAlignment="1">
      <alignment vertical="top"/>
    </xf>
    <xf numFmtId="0" fontId="2" fillId="0" borderId="2" xfId="3" applyFill="1" applyBorder="1"/>
    <xf numFmtId="0" fontId="2" fillId="0" borderId="18" xfId="3" applyFill="1" applyBorder="1" applyAlignment="1">
      <alignment vertical="top"/>
    </xf>
    <xf numFmtId="0" fontId="2" fillId="0" borderId="14" xfId="3" applyFill="1" applyBorder="1" applyAlignment="1">
      <alignment vertical="top"/>
    </xf>
    <xf numFmtId="0" fontId="2" fillId="0" borderId="5" xfId="3" applyFill="1" applyBorder="1" applyAlignment="1">
      <alignment vertical="top"/>
    </xf>
    <xf numFmtId="0" fontId="10" fillId="4" borderId="8" xfId="3" applyFont="1" applyFill="1" applyBorder="1"/>
    <xf numFmtId="0" fontId="2" fillId="4" borderId="2" xfId="3" applyFill="1" applyBorder="1"/>
    <xf numFmtId="0" fontId="2" fillId="4" borderId="10" xfId="3" applyFill="1" applyBorder="1"/>
    <xf numFmtId="0" fontId="2" fillId="4" borderId="5" xfId="3" applyFill="1" applyBorder="1"/>
    <xf numFmtId="0" fontId="2" fillId="4" borderId="6" xfId="3" applyFill="1" applyBorder="1"/>
    <xf numFmtId="0" fontId="2" fillId="4" borderId="7" xfId="3" applyFill="1" applyBorder="1"/>
    <xf numFmtId="0" fontId="5" fillId="4" borderId="2" xfId="3" applyFont="1" applyFill="1" applyBorder="1"/>
    <xf numFmtId="0" fontId="2" fillId="4" borderId="2" xfId="3" applyFill="1" applyBorder="1" applyAlignment="1">
      <alignment wrapText="1"/>
    </xf>
    <xf numFmtId="0" fontId="6" fillId="4" borderId="2" xfId="3" applyFont="1" applyFill="1" applyBorder="1"/>
    <xf numFmtId="0" fontId="6" fillId="4" borderId="2" xfId="3" applyFont="1" applyFill="1" applyBorder="1" applyAlignment="1">
      <alignment horizontal="center"/>
    </xf>
    <xf numFmtId="0" fontId="2" fillId="2" borderId="2" xfId="3" applyBorder="1" applyAlignment="1">
      <alignment horizontal="center" vertical="center" wrapText="1"/>
    </xf>
    <xf numFmtId="0" fontId="2" fillId="2" borderId="14" xfId="3"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vertical="top" wrapText="1"/>
    </xf>
    <xf numFmtId="0" fontId="2" fillId="2" borderId="9" xfId="3" applyBorder="1" applyAlignment="1">
      <alignment horizontal="center" vertical="center" wrapText="1"/>
    </xf>
    <xf numFmtId="0" fontId="2" fillId="2" borderId="15" xfId="3" applyBorder="1" applyAlignment="1">
      <alignment horizontal="center" vertical="center" wrapText="1"/>
    </xf>
    <xf numFmtId="0" fontId="7" fillId="4" borderId="2" xfId="1" applyFont="1" applyFill="1" applyBorder="1" applyAlignment="1">
      <alignment vertical="top" wrapText="1"/>
    </xf>
    <xf numFmtId="0" fontId="7" fillId="4" borderId="2" xfId="1" applyFont="1" applyFill="1" applyBorder="1" applyAlignment="1">
      <alignment horizontal="center" vertical="center" wrapText="1"/>
    </xf>
    <xf numFmtId="0" fontId="0" fillId="0" borderId="9" xfId="3" applyFont="1" applyFill="1" applyBorder="1" applyAlignment="1">
      <alignment vertical="center" wrapText="1"/>
    </xf>
    <xf numFmtId="0" fontId="0" fillId="0" borderId="9" xfId="3" applyFont="1" applyFill="1" applyBorder="1" applyAlignment="1">
      <alignment vertical="top" wrapText="1"/>
    </xf>
    <xf numFmtId="0" fontId="11" fillId="0" borderId="9" xfId="0" applyFont="1" applyBorder="1" applyAlignment="1">
      <alignment vertical="center" wrapText="1"/>
    </xf>
    <xf numFmtId="0" fontId="0" fillId="0" borderId="22" xfId="3" applyFont="1" applyFill="1" applyBorder="1" applyAlignment="1">
      <alignment vertical="top" wrapText="1"/>
    </xf>
    <xf numFmtId="0" fontId="0" fillId="0" borderId="23" xfId="0" applyBorder="1" applyAlignment="1">
      <alignment vertical="top" wrapText="1"/>
    </xf>
    <xf numFmtId="0" fontId="7" fillId="4" borderId="21" xfId="1" applyFont="1" applyFill="1" applyBorder="1" applyAlignment="1">
      <alignment vertical="top" wrapText="1"/>
    </xf>
    <xf numFmtId="0" fontId="7" fillId="4" borderId="12" xfId="1" applyFont="1" applyFill="1" applyBorder="1" applyAlignment="1">
      <alignment vertical="top" wrapText="1"/>
    </xf>
    <xf numFmtId="0" fontId="7" fillId="4" borderId="13" xfId="1" applyFont="1" applyFill="1" applyBorder="1" applyAlignment="1">
      <alignment horizontal="center" vertical="center" wrapText="1"/>
    </xf>
    <xf numFmtId="0" fontId="7" fillId="4" borderId="13" xfId="1" applyFont="1" applyFill="1" applyBorder="1" applyAlignment="1">
      <alignment vertical="top" wrapText="1"/>
    </xf>
    <xf numFmtId="0" fontId="7" fillId="4" borderId="11" xfId="1" applyFont="1" applyFill="1" applyBorder="1" applyAlignment="1">
      <alignment vertical="top" wrapText="1"/>
    </xf>
    <xf numFmtId="0" fontId="7" fillId="4" borderId="4" xfId="1" applyFont="1" applyFill="1" applyBorder="1" applyAlignment="1">
      <alignment vertical="top" wrapText="1"/>
    </xf>
    <xf numFmtId="0" fontId="16" fillId="4" borderId="2" xfId="3" applyFont="1" applyFill="1" applyBorder="1" applyAlignment="1">
      <alignment vertical="center"/>
    </xf>
    <xf numFmtId="0" fontId="16" fillId="4" borderId="2" xfId="3" applyFont="1" applyFill="1" applyBorder="1"/>
    <xf numFmtId="0" fontId="0" fillId="0" borderId="6" xfId="0" applyBorder="1" applyAlignment="1">
      <alignment horizontal="center" vertical="top"/>
    </xf>
    <xf numFmtId="0" fontId="8" fillId="0" borderId="2" xfId="0" applyFont="1" applyBorder="1" applyAlignment="1">
      <alignment vertical="top" wrapText="1"/>
    </xf>
    <xf numFmtId="0" fontId="0" fillId="0" borderId="20" xfId="0" applyBorder="1" applyAlignment="1">
      <alignment vertical="top"/>
    </xf>
    <xf numFmtId="0" fontId="1" fillId="4" borderId="0" xfId="3" applyFont="1" applyFill="1" applyBorder="1" applyAlignment="1">
      <alignment horizontal="left" vertical="top" wrapText="1"/>
    </xf>
    <xf numFmtId="0" fontId="4" fillId="0" borderId="3" xfId="2" applyFill="1" applyAlignment="1">
      <alignment horizontal="center" wrapText="1"/>
    </xf>
    <xf numFmtId="0" fontId="1" fillId="4" borderId="0" xfId="3" applyFont="1" applyFill="1" applyBorder="1" applyAlignment="1">
      <alignment horizontal="center" vertical="top" wrapText="1"/>
    </xf>
    <xf numFmtId="0" fontId="9" fillId="0" borderId="2" xfId="2" applyFont="1" applyFill="1" applyBorder="1" applyAlignment="1">
      <alignment horizontal="center" vertical="center" wrapText="1"/>
    </xf>
    <xf numFmtId="0" fontId="8" fillId="0" borderId="2" xfId="0" applyFont="1" applyBorder="1" applyAlignment="1">
      <alignment wrapText="1"/>
    </xf>
    <xf numFmtId="0" fontId="9" fillId="0" borderId="14" xfId="2" applyFont="1" applyFill="1" applyBorder="1" applyAlignment="1">
      <alignment horizontal="center"/>
    </xf>
    <xf numFmtId="0" fontId="9" fillId="0" borderId="15" xfId="2" applyFont="1" applyFill="1" applyBorder="1" applyAlignment="1">
      <alignment horizontal="center"/>
    </xf>
    <xf numFmtId="0" fontId="0" fillId="0" borderId="9" xfId="0" applyBorder="1"/>
    <xf numFmtId="0" fontId="2" fillId="0" borderId="2" xfId="3" applyFill="1" applyBorder="1" applyAlignment="1">
      <alignment wrapText="1"/>
    </xf>
    <xf numFmtId="0" fontId="0" fillId="0" borderId="2" xfId="0" applyBorder="1"/>
    <xf numFmtId="0" fontId="0" fillId="0" borderId="2" xfId="0" applyBorder="1" applyAlignment="1">
      <alignment horizontal="center"/>
    </xf>
    <xf numFmtId="14" fontId="0" fillId="0" borderId="2" xfId="0" applyNumberFormat="1" applyBorder="1" applyAlignment="1">
      <alignment horizontal="center"/>
    </xf>
    <xf numFmtId="0" fontId="2" fillId="4" borderId="2" xfId="3" applyFill="1" applyBorder="1" applyAlignment="1">
      <alignment vertical="top" wrapText="1"/>
    </xf>
    <xf numFmtId="0" fontId="0" fillId="4" borderId="2" xfId="0" applyFill="1" applyBorder="1" applyAlignment="1">
      <alignment vertical="top" wrapText="1"/>
    </xf>
    <xf numFmtId="0" fontId="9" fillId="0" borderId="5" xfId="2" applyFont="1" applyFill="1" applyBorder="1" applyAlignment="1">
      <alignment horizontal="center" vertical="center" wrapText="1"/>
    </xf>
    <xf numFmtId="0" fontId="8" fillId="0" borderId="5" xfId="0" applyFont="1" applyBorder="1" applyAlignment="1">
      <alignment horizontal="center" vertical="center" wrapText="1"/>
    </xf>
    <xf numFmtId="0" fontId="0" fillId="4" borderId="14" xfId="3" applyFont="1" applyFill="1" applyBorder="1" applyAlignment="1">
      <alignment horizontal="left" vertical="center" wrapText="1"/>
    </xf>
    <xf numFmtId="0" fontId="0" fillId="4" borderId="15" xfId="3" applyFont="1" applyFill="1" applyBorder="1" applyAlignment="1">
      <alignment horizontal="left" vertical="center" wrapText="1"/>
    </xf>
    <xf numFmtId="0" fontId="0" fillId="4" borderId="9" xfId="3" applyFont="1" applyFill="1" applyBorder="1" applyAlignment="1">
      <alignment horizontal="left" vertical="center" wrapText="1"/>
    </xf>
    <xf numFmtId="0" fontId="11" fillId="0" borderId="4" xfId="3" applyFont="1" applyFill="1" applyBorder="1" applyAlignment="1">
      <alignment horizontal="left" vertical="top" wrapText="1"/>
    </xf>
    <xf numFmtId="0" fontId="11" fillId="0" borderId="8" xfId="3" applyFont="1" applyFill="1" applyBorder="1" applyAlignment="1">
      <alignment horizontal="left" vertical="top" wrapText="1"/>
    </xf>
    <xf numFmtId="0" fontId="2" fillId="0" borderId="4" xfId="3" applyFill="1" applyBorder="1" applyAlignment="1">
      <alignment horizontal="center" vertical="top" wrapText="1"/>
    </xf>
    <xf numFmtId="0" fontId="2" fillId="0" borderId="8" xfId="3" applyFill="1" applyBorder="1" applyAlignment="1">
      <alignment horizontal="center" vertical="top" wrapText="1"/>
    </xf>
  </cellXfs>
  <cellStyles count="4">
    <cellStyle name="20% - Accent1" xfId="3" builtinId="30"/>
    <cellStyle name="Heading 1" xfId="2" builtinId="16"/>
    <cellStyle name="Heading 2" xfId="1" builtinId="17"/>
    <cellStyle name="Normal" xfId="0" builtinId="0"/>
  </cellStyles>
  <dxfs count="106">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ont>
        <b/>
        <i val="0"/>
      </font>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ont>
        <b/>
        <i val="0"/>
      </font>
      <fill>
        <patternFill>
          <bgColor theme="5"/>
        </patternFill>
      </fill>
    </dxf>
    <dxf>
      <font>
        <b/>
        <i val="0"/>
        <color theme="0"/>
      </font>
      <fill>
        <patternFill>
          <bgColor rgb="FF75787B"/>
        </patternFill>
      </fill>
    </dxf>
    <dxf>
      <font>
        <color rgb="FF000000"/>
      </font>
      <fill>
        <patternFill patternType="solid">
          <bgColor rgb="FFD9E1F2"/>
        </patternFill>
      </fill>
    </dxf>
    <dxf>
      <font>
        <color rgb="FF000000"/>
      </font>
      <fill>
        <patternFill patternType="solid">
          <bgColor rgb="FFFFCED7"/>
        </patternFill>
      </fill>
    </dxf>
    <dxf>
      <font>
        <color rgb="FF000000"/>
      </font>
      <fill>
        <patternFill patternType="solid">
          <bgColor rgb="FF00C7B1"/>
        </patternFill>
      </fill>
    </dxf>
    <dxf>
      <font>
        <color rgb="FF000000"/>
      </font>
      <fill>
        <patternFill patternType="solid">
          <bgColor rgb="FFED8B00"/>
        </patternFill>
      </fill>
    </dxf>
    <dxf>
      <font>
        <b val="0"/>
        <i val="0"/>
      </font>
      <fill>
        <patternFill>
          <bgColor rgb="FF00C7B1"/>
        </patternFill>
      </fill>
    </dxf>
    <dxf>
      <font>
        <b val="0"/>
        <i val="0"/>
      </font>
      <fill>
        <patternFill>
          <bgColor rgb="FFFF585D"/>
        </patternFill>
      </fill>
    </dxf>
    <dxf>
      <font>
        <b val="0"/>
        <i val="0"/>
      </font>
      <fill>
        <patternFill>
          <bgColor rgb="FFFBD872"/>
        </patternFill>
      </fill>
    </dxf>
    <dxf>
      <font>
        <color auto="1"/>
      </font>
      <fill>
        <patternFill>
          <bgColor rgb="FFFFC7CE"/>
        </patternFill>
      </fill>
    </dxf>
    <dxf>
      <font>
        <color theme="1"/>
      </font>
      <fill>
        <patternFill>
          <bgColor rgb="FFFF6969"/>
        </patternFill>
      </fill>
    </dxf>
    <dxf>
      <fill>
        <patternFill>
          <bgColor theme="9" tint="0.59996337778862885"/>
        </patternFill>
      </fill>
    </dxf>
  </dxfs>
  <tableStyles count="0" defaultTableStyle="TableStyleMedium2" defaultPivotStyle="PivotStyleLight16"/>
  <colors>
    <mruColors>
      <color rgb="FFC8E9E9"/>
      <color rgb="FF80E0A7"/>
      <color rgb="FFFF585D"/>
      <color rgb="FFFBD872"/>
      <color rgb="FFFF8674"/>
      <color rgb="FFFFCED7"/>
      <color rgb="FF00C7B1"/>
      <color rgb="FF75787B"/>
      <color rgb="FFED8B00"/>
      <color rgb="FFE3E3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'Tests Summary'!$D$30</c:f>
              <c:strCache>
                <c:ptCount val="1"/>
                <c:pt idx="0">
                  <c:v>PASS</c:v>
                </c:pt>
              </c:strCache>
            </c:strRef>
          </c:tx>
          <c:spPr>
            <a:solidFill>
              <a:srgbClr val="00C7B1"/>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Summary'!$D$31:$D$44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819-6544-97DE-046D9C1CD584}"/>
            </c:ext>
          </c:extLst>
        </c:ser>
        <c:ser>
          <c:idx val="1"/>
          <c:order val="1"/>
          <c:tx>
            <c:strRef>
              <c:f>'Tests Summary'!$E$30</c:f>
              <c:strCache>
                <c:ptCount val="1"/>
                <c:pt idx="0">
                  <c:v>FAIL</c:v>
                </c:pt>
              </c:strCache>
            </c:strRef>
          </c:tx>
          <c:spPr>
            <a:solidFill>
              <a:srgbClr val="FF585D"/>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Summary'!$E$31:$E$44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819-6544-97DE-046D9C1CD584}"/>
            </c:ext>
          </c:extLst>
        </c:ser>
        <c:ser>
          <c:idx val="2"/>
          <c:order val="2"/>
          <c:tx>
            <c:strRef>
              <c:f>'Tests Summary'!$F$30</c:f>
              <c:strCache>
                <c:ptCount val="1"/>
                <c:pt idx="0">
                  <c:v>NOT RUN</c:v>
                </c:pt>
              </c:strCache>
            </c:strRef>
          </c:tx>
          <c:spPr>
            <a:solidFill>
              <a:schemeClr val="accent3"/>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Summary'!$F$31:$F$44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2819-6544-97DE-046D9C1CD584}"/>
            </c:ext>
          </c:extLst>
        </c:ser>
        <c:dLbls>
          <c:showLegendKey val="0"/>
          <c:showVal val="0"/>
          <c:showCatName val="0"/>
          <c:showSerName val="0"/>
          <c:showPercent val="0"/>
          <c:showBubbleSize val="0"/>
        </c:dLbls>
        <c:gapWidth val="247"/>
        <c:axId val="900783392"/>
        <c:axId val="1076295424"/>
      </c:barChart>
      <c:catAx>
        <c:axId val="90078339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076295424"/>
        <c:crosses val="autoZero"/>
        <c:auto val="1"/>
        <c:lblAlgn val="ctr"/>
        <c:lblOffset val="100"/>
        <c:noMultiLvlLbl val="0"/>
      </c:catAx>
      <c:valAx>
        <c:axId val="107629542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007833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bg1">
        <a:lumMod val="85000"/>
        <a:alpha val="10000"/>
      </a:schemeClr>
    </a:solidFill>
    <a:ln w="9525" cap="flat" cmpd="sng" algn="ctr">
      <a:solidFill>
        <a:srgbClr val="C8E9E9"/>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1512887</xdr:colOff>
      <xdr:row>1</xdr:row>
      <xdr:rowOff>142874</xdr:rowOff>
    </xdr:from>
    <xdr:to>
      <xdr:col>12</xdr:col>
      <xdr:colOff>122456</xdr:colOff>
      <xdr:row>8</xdr:row>
      <xdr:rowOff>2104</xdr:rowOff>
    </xdr:to>
    <xdr:pic>
      <xdr:nvPicPr>
        <xdr:cNvPr id="2" name="Picture 1" descr="Home - Bango">
          <a:extLst>
            <a:ext uri="{FF2B5EF4-FFF2-40B4-BE49-F238E27FC236}">
              <a16:creationId xmlns:a16="http://schemas.microsoft.com/office/drawing/2014/main" id="{A4618644-8888-41B6-4189-2942720473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23562" y="323849"/>
          <a:ext cx="4440237" cy="137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180975</xdr:colOff>
      <xdr:row>25</xdr:row>
      <xdr:rowOff>0</xdr:rowOff>
    </xdr:from>
    <xdr:to>
      <xdr:col>13</xdr:col>
      <xdr:colOff>554037</xdr:colOff>
      <xdr:row>48</xdr:row>
      <xdr:rowOff>38100</xdr:rowOff>
    </xdr:to>
    <xdr:graphicFrame macro="">
      <xdr:nvGraphicFramePr>
        <xdr:cNvPr id="4" name="Chart 3">
          <a:extLst>
            <a:ext uri="{FF2B5EF4-FFF2-40B4-BE49-F238E27FC236}">
              <a16:creationId xmlns:a16="http://schemas.microsoft.com/office/drawing/2014/main" id="{9A11D99D-420E-EA2F-083A-804E30F70890}"/>
            </a:ext>
            <a:ext uri="{147F2762-F138-4A5C-976F-8EAC2B608ADB}">
              <a16:predDERef xmlns:a16="http://schemas.microsoft.com/office/drawing/2014/main" pred="{A4618644-8888-41B6-4189-2942720473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DDAF-7E01-4B3C-839E-2070CD3AA545}">
  <sheetPr codeName="Sheet1"/>
  <dimension ref="A1:C5"/>
  <sheetViews>
    <sheetView workbookViewId="0">
      <selection activeCell="A3" sqref="A3"/>
    </sheetView>
  </sheetViews>
  <sheetFormatPr baseColWidth="10" defaultColWidth="8.83203125" defaultRowHeight="15" x14ac:dyDescent="0.2"/>
  <cols>
    <col min="4" max="4" width="13.6640625" bestFit="1" customWidth="1"/>
  </cols>
  <sheetData>
    <row r="1" spans="1:3" x14ac:dyDescent="0.2">
      <c r="A1" s="3" t="s">
        <v>0</v>
      </c>
      <c r="C1" t="s">
        <v>1</v>
      </c>
    </row>
    <row r="2" spans="1:3" x14ac:dyDescent="0.2">
      <c r="A2" s="3" t="s">
        <v>2</v>
      </c>
      <c r="C2" t="s">
        <v>3</v>
      </c>
    </row>
    <row r="3" spans="1:3" x14ac:dyDescent="0.2">
      <c r="A3" t="s">
        <v>4</v>
      </c>
    </row>
    <row r="5" spans="1:3" x14ac:dyDescent="0.2">
      <c r="A5" t="s">
        <v>5</v>
      </c>
    </row>
  </sheetData>
  <conditionalFormatting sqref="A1">
    <cfRule type="cellIs" dxfId="105" priority="2" operator="equal">
      <formula>"PASS"</formula>
    </cfRule>
    <cfRule type="cellIs" dxfId="104" priority="3" operator="equal">
      <formula>"FAIL"</formula>
    </cfRule>
  </conditionalFormatting>
  <conditionalFormatting sqref="A5">
    <cfRule type="cellIs" dxfId="103" priority="1" operator="equal">
      <formula>$A$5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1B3DA-E0CA-3048-AD6D-6429A2685C59}">
  <sheetPr codeName="Sheet17"/>
  <dimension ref="A1:B16"/>
  <sheetViews>
    <sheetView workbookViewId="0">
      <selection activeCell="C9" sqref="C9"/>
    </sheetView>
  </sheetViews>
  <sheetFormatPr baseColWidth="10" defaultColWidth="8.83203125" defaultRowHeight="15" x14ac:dyDescent="0.2"/>
  <cols>
    <col min="1" max="1" width="80.5" style="1" customWidth="1"/>
    <col min="2" max="2" width="15" customWidth="1"/>
  </cols>
  <sheetData>
    <row r="1" spans="1:2" ht="21" thickBot="1" x14ac:dyDescent="0.3">
      <c r="A1" s="114" t="s">
        <v>152</v>
      </c>
      <c r="B1" s="114"/>
    </row>
    <row r="2" spans="1:2" ht="45" customHeight="1" thickTop="1" x14ac:dyDescent="0.2">
      <c r="A2" s="115" t="s">
        <v>153</v>
      </c>
      <c r="B2" s="115"/>
    </row>
    <row r="3" spans="1:2" ht="21" thickBot="1" x14ac:dyDescent="0.3">
      <c r="A3" s="114" t="s">
        <v>151</v>
      </c>
      <c r="B3" s="114"/>
    </row>
    <row r="4" spans="1:2" ht="60" customHeight="1" thickTop="1" x14ac:dyDescent="0.2">
      <c r="A4" s="115" t="s">
        <v>154</v>
      </c>
      <c r="B4" s="115"/>
    </row>
    <row r="5" spans="1:2" ht="21" thickBot="1" x14ac:dyDescent="0.3">
      <c r="A5" s="114" t="s">
        <v>150</v>
      </c>
      <c r="B5" s="114"/>
    </row>
    <row r="6" spans="1:2" ht="17" thickTop="1" x14ac:dyDescent="0.2">
      <c r="A6" s="113" t="s">
        <v>155</v>
      </c>
      <c r="B6" s="113"/>
    </row>
    <row r="7" spans="1:2" ht="16" x14ac:dyDescent="0.2">
      <c r="A7" s="113" t="s">
        <v>156</v>
      </c>
      <c r="B7" s="113"/>
    </row>
    <row r="8" spans="1:2" ht="16" x14ac:dyDescent="0.2">
      <c r="A8" s="113" t="s">
        <v>149</v>
      </c>
      <c r="B8" s="113"/>
    </row>
    <row r="9" spans="1:2" ht="16" x14ac:dyDescent="0.2">
      <c r="A9" s="113" t="s">
        <v>157</v>
      </c>
      <c r="B9" s="113"/>
    </row>
    <row r="10" spans="1:2" ht="21" thickBot="1" x14ac:dyDescent="0.3">
      <c r="A10" s="114" t="s">
        <v>148</v>
      </c>
      <c r="B10" s="114"/>
    </row>
    <row r="11" spans="1:2" ht="17" thickTop="1" x14ac:dyDescent="0.2">
      <c r="A11" s="113" t="s">
        <v>147</v>
      </c>
      <c r="B11" s="113"/>
    </row>
    <row r="12" spans="1:2" ht="16" x14ac:dyDescent="0.2">
      <c r="A12" s="113" t="s">
        <v>146</v>
      </c>
      <c r="B12" s="113"/>
    </row>
    <row r="13" spans="1:2" ht="16" x14ac:dyDescent="0.2">
      <c r="A13" s="113" t="s">
        <v>145</v>
      </c>
      <c r="B13" s="113"/>
    </row>
    <row r="14" spans="1:2" ht="21" thickBot="1" x14ac:dyDescent="0.3">
      <c r="A14" s="114" t="s">
        <v>158</v>
      </c>
      <c r="B14" s="114"/>
    </row>
    <row r="15" spans="1:2" ht="30" customHeight="1" thickTop="1" x14ac:dyDescent="0.2">
      <c r="A15" s="115" t="s">
        <v>159</v>
      </c>
      <c r="B15" s="115"/>
    </row>
    <row r="16" spans="1:2" ht="29.25" customHeight="1" x14ac:dyDescent="0.2">
      <c r="A16" s="115" t="s">
        <v>160</v>
      </c>
      <c r="B16" s="115"/>
    </row>
  </sheetData>
  <mergeCells count="16">
    <mergeCell ref="A13:B13"/>
    <mergeCell ref="A14:B14"/>
    <mergeCell ref="A15:B15"/>
    <mergeCell ref="A16:B16"/>
    <mergeCell ref="A7:B7"/>
    <mergeCell ref="A8:B8"/>
    <mergeCell ref="A9:B9"/>
    <mergeCell ref="A10:B10"/>
    <mergeCell ref="A11:B11"/>
    <mergeCell ref="A12:B12"/>
    <mergeCell ref="A6:B6"/>
    <mergeCell ref="A1:B1"/>
    <mergeCell ref="A2:B2"/>
    <mergeCell ref="A3:B3"/>
    <mergeCell ref="A4:B4"/>
    <mergeCell ref="A5:B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98ACE-0EF5-A040-8D54-650DB9D5E9D2}">
  <sheetPr codeName="Sheet2"/>
  <dimension ref="B2:H103"/>
  <sheetViews>
    <sheetView showGridLines="0" workbookViewId="0">
      <selection activeCell="E17" sqref="E17"/>
    </sheetView>
  </sheetViews>
  <sheetFormatPr baseColWidth="10" defaultColWidth="8.83203125" defaultRowHeight="15" x14ac:dyDescent="0.2"/>
  <cols>
    <col min="1" max="1" width="3.33203125" customWidth="1"/>
    <col min="2" max="2" width="48.6640625" customWidth="1"/>
    <col min="3" max="3" width="22.83203125" style="1" bestFit="1" customWidth="1"/>
    <col min="4" max="4" width="20.33203125" customWidth="1"/>
    <col min="5" max="5" width="13.6640625" customWidth="1"/>
    <col min="6" max="6" width="11.6640625" customWidth="1"/>
    <col min="7" max="7" width="8.1640625" customWidth="1"/>
    <col min="8" max="8" width="40.1640625" customWidth="1"/>
    <col min="9" max="9" width="10.1640625" customWidth="1"/>
    <col min="10" max="10" width="15.1640625" customWidth="1"/>
    <col min="11" max="11" width="6.33203125" customWidth="1"/>
    <col min="12" max="12" width="9.6640625" customWidth="1"/>
  </cols>
  <sheetData>
    <row r="2" spans="2:8" ht="20" x14ac:dyDescent="0.25">
      <c r="B2" s="118" t="s">
        <v>6</v>
      </c>
      <c r="C2" s="119"/>
      <c r="D2" s="120"/>
    </row>
    <row r="3" spans="2:8" x14ac:dyDescent="0.2">
      <c r="B3" s="80" t="s">
        <v>7</v>
      </c>
      <c r="C3" s="121"/>
      <c r="D3" s="122"/>
    </row>
    <row r="4" spans="2:8" x14ac:dyDescent="0.2">
      <c r="B4" s="80" t="s">
        <v>8</v>
      </c>
      <c r="C4" s="121"/>
      <c r="D4" s="122"/>
    </row>
    <row r="5" spans="2:8" x14ac:dyDescent="0.2">
      <c r="B5" s="80" t="s">
        <v>9</v>
      </c>
      <c r="C5" s="121"/>
      <c r="D5" s="122"/>
    </row>
    <row r="6" spans="2:8" ht="32" x14ac:dyDescent="0.2">
      <c r="B6" s="86" t="s">
        <v>10</v>
      </c>
      <c r="C6" s="121"/>
      <c r="D6" s="122"/>
    </row>
    <row r="8" spans="2:8" x14ac:dyDescent="0.2">
      <c r="B8" s="116" t="s">
        <v>11</v>
      </c>
      <c r="C8" s="117"/>
      <c r="D8" s="117"/>
    </row>
    <row r="9" spans="2:8" ht="48.5" customHeight="1" x14ac:dyDescent="0.2">
      <c r="B9" s="125" t="s">
        <v>12</v>
      </c>
      <c r="C9" s="126"/>
      <c r="D9" s="126"/>
    </row>
    <row r="10" spans="2:8" x14ac:dyDescent="0.2">
      <c r="C10"/>
    </row>
    <row r="11" spans="2:8" ht="23" customHeight="1" x14ac:dyDescent="0.2">
      <c r="B11" s="127" t="s">
        <v>13</v>
      </c>
      <c r="C11" s="128"/>
      <c r="D11" s="128"/>
      <c r="E11" s="58"/>
      <c r="H11" s="1"/>
    </row>
    <row r="12" spans="2:8" x14ac:dyDescent="0.2">
      <c r="B12" s="79" t="s">
        <v>14</v>
      </c>
      <c r="C12" s="79" t="s">
        <v>15</v>
      </c>
      <c r="D12" s="79" t="s">
        <v>16</v>
      </c>
      <c r="E12" s="79" t="s">
        <v>17</v>
      </c>
      <c r="G12" s="1"/>
    </row>
    <row r="13" spans="2:8" x14ac:dyDescent="0.2">
      <c r="B13" s="80" t="s">
        <v>18</v>
      </c>
      <c r="C13" s="72" t="str">
        <f>IF( 'Tests Summary'!E13="NO", "NOT IN SCOPE", IF('Tests Summary'!E31&gt;0,"Failed", IF('Tests Summary'!D31&gt;0,"PASSED","NOT RUN")))</f>
        <v>NOT RUN</v>
      </c>
      <c r="D13" s="13"/>
      <c r="E13" s="73" t="s">
        <v>1</v>
      </c>
      <c r="F13" s="69"/>
      <c r="G13" s="1"/>
    </row>
    <row r="14" spans="2:8" x14ac:dyDescent="0.2">
      <c r="B14" s="81" t="s">
        <v>19</v>
      </c>
      <c r="C14" s="72" t="str">
        <f>IF( 'Tests Summary'!E14="NO", "NOT IN SCOPE", IF('Tests Summary'!E32&gt;0,"Failed", IF('Tests Summary'!D32&gt;0,"PASSED","NOT RUN")))</f>
        <v>NOT RUN</v>
      </c>
      <c r="D14" s="74"/>
      <c r="E14" s="73" t="s">
        <v>1</v>
      </c>
      <c r="F14" s="70"/>
      <c r="G14" s="71"/>
    </row>
    <row r="15" spans="2:8" x14ac:dyDescent="0.2">
      <c r="B15" s="82" t="s">
        <v>20</v>
      </c>
      <c r="C15" s="72" t="str">
        <f>IF( 'Tests Summary'!E15="NO", "NOT IN SCOPE", IF('Tests Summary'!E33&gt;0,"Failed", IF('Tests Summary'!D33&gt;0,"PASSED","NOT RUN")))</f>
        <v>NOT RUN</v>
      </c>
      <c r="D15" s="73"/>
      <c r="E15" s="73" t="s">
        <v>1</v>
      </c>
      <c r="F15" s="69"/>
      <c r="G15" s="1"/>
    </row>
    <row r="16" spans="2:8" x14ac:dyDescent="0.2">
      <c r="B16" s="83" t="s">
        <v>21</v>
      </c>
      <c r="C16" s="72" t="str">
        <f>IF( 'Tests Summary'!E16="NO", "NOT IN SCOPE", IF('Tests Summary'!E34&gt;0,"Failed", IF('Tests Summary'!D34&gt;0,"PASSED","NOT RUN")))</f>
        <v>NOT RUN</v>
      </c>
      <c r="D16" s="13"/>
      <c r="E16" s="73" t="s">
        <v>1</v>
      </c>
      <c r="F16" s="69"/>
      <c r="G16" s="1"/>
    </row>
    <row r="17" spans="2:7" x14ac:dyDescent="0.2">
      <c r="B17" s="83" t="s">
        <v>22</v>
      </c>
      <c r="C17" s="72" t="str">
        <f>IF( 'Tests Summary'!E17="NO", "NOT IN SCOPE", IF('Tests Summary'!E35&gt;0,"Failed", IF('Tests Summary'!D35&gt;0,"PASSED","NOT RUN")))</f>
        <v>NOT RUN</v>
      </c>
      <c r="D17" s="75"/>
      <c r="E17" s="73" t="s">
        <v>1</v>
      </c>
      <c r="F17" s="69"/>
      <c r="G17" s="1"/>
    </row>
    <row r="18" spans="2:7" x14ac:dyDescent="0.2">
      <c r="B18" s="83" t="s">
        <v>23</v>
      </c>
      <c r="C18" s="72" t="str">
        <f>IF( 'Tests Summary'!E18="NO", "NOT IN SCOPE", IF('Tests Summary'!E36&gt;0,"Failed", IF('Tests Summary'!D36&gt;0,"PASSED","NOT RUN")))</f>
        <v>NOT RUN</v>
      </c>
      <c r="D18" s="13"/>
      <c r="E18" s="73" t="s">
        <v>1</v>
      </c>
      <c r="F18" s="69"/>
      <c r="G18" s="1"/>
    </row>
    <row r="19" spans="2:7" x14ac:dyDescent="0.2">
      <c r="B19" s="82" t="s">
        <v>24</v>
      </c>
      <c r="C19" s="72" t="str">
        <f>IF( 'Tests Summary'!E19="NO", "NOT IN SCOPE", IF('Tests Summary'!E37&gt;0,"Failed", IF('Tests Summary'!D37&gt;0,"PASSED","NOT RUN")))</f>
        <v>NOT RUN</v>
      </c>
      <c r="D19" s="74"/>
      <c r="E19" s="73" t="s">
        <v>1</v>
      </c>
      <c r="F19" s="69"/>
      <c r="G19" s="1"/>
    </row>
    <row r="20" spans="2:7" x14ac:dyDescent="0.2">
      <c r="B20" s="84" t="s">
        <v>25</v>
      </c>
      <c r="C20" s="72" t="str">
        <f>IF( 'Tests Summary'!E20="NO", "NOT IN SCOPE", IF('Tests Summary'!E38&gt;0,"Failed", IF('Tests Summary'!D38&gt;0,"PASSED","NOT RUN")))</f>
        <v>NOT RUN</v>
      </c>
      <c r="D20" s="76"/>
      <c r="E20" s="73" t="s">
        <v>1</v>
      </c>
      <c r="F20" s="69"/>
      <c r="G20" s="1"/>
    </row>
    <row r="21" spans="2:7" x14ac:dyDescent="0.2">
      <c r="B21" s="84" t="s">
        <v>26</v>
      </c>
      <c r="C21" s="72" t="str">
        <f>IF( 'Tests Summary'!E21="NO", "NOT IN SCOPE", IF('Tests Summary'!E39&gt;0,"Failed", IF('Tests Summary'!D39&gt;0,"PASSED","NOT RUN")))</f>
        <v>NOT RUN</v>
      </c>
      <c r="D21" s="73"/>
      <c r="E21" s="73" t="s">
        <v>1</v>
      </c>
      <c r="F21" s="69"/>
      <c r="G21" s="1"/>
    </row>
    <row r="22" spans="2:7" x14ac:dyDescent="0.2">
      <c r="B22" s="80" t="s">
        <v>27</v>
      </c>
      <c r="C22" s="72" t="str">
        <f>IF( 'Tests Summary'!E22="NO", "NOT IN SCOPE", IF('Tests Summary'!E40&gt;0,"Failed", IF('Tests Summary'!D40&gt;0,"PASSED","NOT RUN")))</f>
        <v>NOT RUN</v>
      </c>
      <c r="D22" s="13"/>
      <c r="E22" s="73" t="s">
        <v>1</v>
      </c>
      <c r="F22" s="69"/>
      <c r="G22" s="1"/>
    </row>
    <row r="23" spans="2:7" x14ac:dyDescent="0.2">
      <c r="B23" s="85" t="s">
        <v>28</v>
      </c>
      <c r="C23" s="72" t="str">
        <f>IF( 'Tests Summary'!E23="NO", "NOT IN SCOPE", IF('Tests Summary'!E41&gt;0,"Failed", IF('Tests Summary'!D41&gt;0,"PASSED","NOT RUN")))</f>
        <v>NOT RUN</v>
      </c>
      <c r="D23" s="13"/>
      <c r="E23" s="73" t="s">
        <v>1</v>
      </c>
      <c r="F23" s="69"/>
      <c r="G23" s="1"/>
    </row>
    <row r="24" spans="2:7" x14ac:dyDescent="0.2">
      <c r="B24" s="85" t="s">
        <v>29</v>
      </c>
      <c r="C24" s="72" t="str">
        <f>IF( 'Tests Summary'!E24="NO", "NOT IN SCOPE", IF('Tests Summary'!E42&gt;0,"Failed", IF('Tests Summary'!D42&gt;0,"PASSED","NOT RUN")))</f>
        <v>NOT RUN</v>
      </c>
      <c r="D24" s="13"/>
      <c r="E24" s="73" t="s">
        <v>1</v>
      </c>
      <c r="F24" s="69"/>
      <c r="G24" s="1"/>
    </row>
    <row r="25" spans="2:7" x14ac:dyDescent="0.2">
      <c r="B25" s="85" t="s">
        <v>30</v>
      </c>
      <c r="C25" s="72" t="str">
        <f>IF( 'Tests Summary'!E25="NO", "NOT IN SCOPE", IF('Tests Summary'!E43&gt;0,"Failed", IF('Tests Summary'!D43&gt;0,"PASSED","NOT RUN")))</f>
        <v>NOT RUN</v>
      </c>
      <c r="D25" s="13"/>
      <c r="E25" s="73" t="s">
        <v>1</v>
      </c>
      <c r="F25" s="69"/>
      <c r="G25" s="1"/>
    </row>
    <row r="26" spans="2:7" x14ac:dyDescent="0.2">
      <c r="B26" s="85" t="s">
        <v>31</v>
      </c>
      <c r="C26" s="72" t="str">
        <f>IF( 'Tests Summary'!E26="NO", "NOT IN SCOPE", IF('Tests Summary'!E44&gt;0,"Failed", IF('Tests Summary'!D44&gt;0,"PASSED","NOT RUN")))</f>
        <v>NOT RUN</v>
      </c>
      <c r="D26" s="77"/>
      <c r="E26" s="78" t="s">
        <v>1</v>
      </c>
      <c r="F26" s="69"/>
      <c r="G26" s="1"/>
    </row>
    <row r="27" spans="2:7" x14ac:dyDescent="0.2">
      <c r="C27"/>
    </row>
    <row r="28" spans="2:7" ht="43" customHeight="1" x14ac:dyDescent="0.2">
      <c r="B28" s="129"/>
      <c r="C28" s="130"/>
      <c r="D28" s="130"/>
      <c r="E28" s="130"/>
      <c r="F28" s="131"/>
    </row>
    <row r="29" spans="2:7" x14ac:dyDescent="0.2">
      <c r="C29"/>
    </row>
    <row r="30" spans="2:7" x14ac:dyDescent="0.2">
      <c r="B30" s="87" t="s">
        <v>32</v>
      </c>
      <c r="C30" s="88" t="s">
        <v>33</v>
      </c>
      <c r="D30" s="88" t="s">
        <v>0</v>
      </c>
      <c r="E30" s="88" t="s">
        <v>2</v>
      </c>
      <c r="F30" s="88" t="s">
        <v>4</v>
      </c>
    </row>
    <row r="31" spans="2:7" x14ac:dyDescent="0.2">
      <c r="B31" s="80" t="s">
        <v>18</v>
      </c>
      <c r="C31" s="32">
        <f>COUNT(Echo!A2:A9,"*")</f>
        <v>1</v>
      </c>
      <c r="D31" s="32">
        <f>COUNTIF(Echo!G2:G994,"PASS")</f>
        <v>0</v>
      </c>
      <c r="E31" s="32">
        <f>COUNTIF(Echo!G2:G994,"FAIL")</f>
        <v>0</v>
      </c>
      <c r="F31" s="32">
        <f>COUNTIF(Echo!G2:G994,"NOT RUN")</f>
        <v>0</v>
      </c>
    </row>
    <row r="32" spans="2:7" x14ac:dyDescent="0.2">
      <c r="B32" s="80" t="s">
        <v>19</v>
      </c>
      <c r="C32" s="32">
        <f>COUNT(Activate!A2:A994,"*")</f>
        <v>4</v>
      </c>
      <c r="D32" s="32">
        <f>COUNTIF(Activate!G2:G994,"*")</f>
        <v>0</v>
      </c>
      <c r="E32" s="32">
        <f>COUNTIF(Activate!G2:G994,"*")</f>
        <v>0</v>
      </c>
      <c r="F32" s="32">
        <f>COUNTIF(Activate!G2:G994,"NOT RUN")</f>
        <v>0</v>
      </c>
    </row>
    <row r="33" spans="2:6" x14ac:dyDescent="0.2">
      <c r="B33" s="80" t="s">
        <v>20</v>
      </c>
      <c r="C33" s="32">
        <f>COUNT('Sync Reseller Product Update'!A2:A9994,"*")</f>
        <v>4</v>
      </c>
      <c r="D33" s="32">
        <f>COUNTIF('Sync Reseller Product Update'!G2:G9994,"*")</f>
        <v>0</v>
      </c>
      <c r="E33" s="32">
        <f>COUNTIF('Sync Reseller Product Update'!G2:G9994,"*")</f>
        <v>0</v>
      </c>
      <c r="F33" s="32">
        <f>COUNTIF('Sync Reseller Product Update'!G2:G9994,"NOT RUN")</f>
        <v>0</v>
      </c>
    </row>
    <row r="34" spans="2:6" x14ac:dyDescent="0.2">
      <c r="B34" s="80" t="s">
        <v>21</v>
      </c>
      <c r="C34" s="32">
        <f>COUNT('Async Reseller Product Update'!A2:A994,"*")</f>
        <v>6</v>
      </c>
      <c r="D34" s="32">
        <f>COUNTIF('Async Reseller Product Update'!G2:G994,"PASS")</f>
        <v>0</v>
      </c>
      <c r="E34" s="32">
        <f>COUNTIF('Async Reseller Product Update'!G2:G994,"FAIL")</f>
        <v>0</v>
      </c>
      <c r="F34" s="32">
        <f>COUNTIF('Async Reseller Product Update'!G2:G994,"NOT RUN")</f>
        <v>0</v>
      </c>
    </row>
    <row r="35" spans="2:6" x14ac:dyDescent="0.2">
      <c r="B35" s="80" t="s">
        <v>22</v>
      </c>
      <c r="C35" s="32">
        <f>COUNT('Merchant Product Update'!A2:A996,"*")</f>
        <v>5</v>
      </c>
      <c r="D35" s="32">
        <f>COUNTIF('Async Reseller Product Update'!G2:G994,"PASS")</f>
        <v>0</v>
      </c>
      <c r="E35" s="32">
        <f>COUNTIF('Async Reseller Product Update'!G2:G994,"FAIL")</f>
        <v>0</v>
      </c>
      <c r="F35" s="32">
        <f>COUNTIF('Async Reseller Product Update'!G2:G994,"NOT RUN")</f>
        <v>0</v>
      </c>
    </row>
    <row r="36" spans="2:6" x14ac:dyDescent="0.2">
      <c r="B36" s="80" t="s">
        <v>23</v>
      </c>
      <c r="C36" s="32">
        <f>COUNT('Sync Termination Immediate'!A2:A999,"*")</f>
        <v>3</v>
      </c>
      <c r="D36" s="32">
        <f>COUNTIF('Sync Termination Immediate'!G2:G998,"PASS")</f>
        <v>0</v>
      </c>
      <c r="E36" s="32">
        <f>COUNTIF('Sync Termination Immediate'!G2:G998,"FAIL")</f>
        <v>0</v>
      </c>
      <c r="F36" s="32">
        <f>COUNTIF('Sync Termination Immediate'!G2:G998,"NOT RUN")</f>
        <v>0</v>
      </c>
    </row>
    <row r="37" spans="2:6" x14ac:dyDescent="0.2">
      <c r="B37" s="80" t="s">
        <v>24</v>
      </c>
      <c r="C37" s="32">
        <f>COUNT('Async Termination Immediate'!A2:A999,"*")</f>
        <v>5</v>
      </c>
      <c r="D37" s="32">
        <f>COUNTIF('Async Termination Immediate'!G2:G998,"PASS")</f>
        <v>0</v>
      </c>
      <c r="E37" s="32">
        <f>COUNTIF('Async Termination Immediate'!G2:G998,"FAIL")</f>
        <v>0</v>
      </c>
      <c r="F37" s="32">
        <f>COUNTIF('Async Termination Immediate'!G2:G998,"NOT RUN")</f>
        <v>0</v>
      </c>
    </row>
    <row r="38" spans="2:6" x14ac:dyDescent="0.2">
      <c r="B38" s="80" t="s">
        <v>25</v>
      </c>
      <c r="C38" s="32">
        <f>COUNT('Merchant Termination'!A2:A999,"*")</f>
        <v>7</v>
      </c>
      <c r="D38" s="32">
        <f>COUNTIF('Merchant Termination'!G2:G998,"PASS")</f>
        <v>0</v>
      </c>
      <c r="E38" s="32">
        <f>COUNTIF('Merchant Termination'!G2:G998,"FAIL")</f>
        <v>0</v>
      </c>
      <c r="F38" s="32">
        <f>COUNTIF('Merchant Termination'!G2:G998,"NOT RUN")</f>
        <v>0</v>
      </c>
    </row>
    <row r="39" spans="2:6" x14ac:dyDescent="0.2">
      <c r="B39" s="80" t="s">
        <v>34</v>
      </c>
      <c r="C39" s="32">
        <f>COUNT('Sync Termination EoBC'!A2:A41,"*")</f>
        <v>5</v>
      </c>
      <c r="D39" s="32">
        <f>COUNTIF('Sync Termination EoBC'!G2:G9996,"Pass")</f>
        <v>0</v>
      </c>
      <c r="E39" s="32">
        <f>COUNTIF('Sync Termination EoBC'!G2:G996,"Fail")</f>
        <v>0</v>
      </c>
      <c r="F39" s="32">
        <f>COUNTIF('Sync Termination EoBC'!G2:G996,"NOT RUN")</f>
        <v>0</v>
      </c>
    </row>
    <row r="40" spans="2:6" x14ac:dyDescent="0.2">
      <c r="B40" s="80" t="s">
        <v>27</v>
      </c>
      <c r="C40" s="32">
        <f>COUNT('Async Termination EoBC'!A2:A41,"*")</f>
        <v>7</v>
      </c>
      <c r="D40" s="32">
        <f>COUNTIF('Async Termination EoBC'!G2:G9996,"Pass")</f>
        <v>0</v>
      </c>
      <c r="E40" s="32">
        <f>COUNTIF('Async Termination EoBC'!G2:G9996,"FAIL")</f>
        <v>0</v>
      </c>
      <c r="F40" s="32">
        <f>COUNTIF('Async Termination EoBC'!G1:G9996,"NOT RUN")</f>
        <v>0</v>
      </c>
    </row>
    <row r="41" spans="2:6" x14ac:dyDescent="0.2">
      <c r="B41" s="85" t="s">
        <v>28</v>
      </c>
      <c r="C41" s="32">
        <f>COUNT('Suspend Sync'!A2:A998,"*")</f>
        <v>4</v>
      </c>
      <c r="D41" s="32">
        <f>COUNTIF('Suspend Sync'!G2:G998,"PASS")</f>
        <v>0</v>
      </c>
      <c r="E41" s="32">
        <f>COUNTIF('Suspend Sync'!G2:G998,"FAIL")</f>
        <v>0</v>
      </c>
      <c r="F41" s="32">
        <f>COUNTIF('Suspend Sync'!G2:G998,"NOT RUN")</f>
        <v>0</v>
      </c>
    </row>
    <row r="42" spans="2:6" x14ac:dyDescent="0.2">
      <c r="B42" s="85" t="s">
        <v>35</v>
      </c>
      <c r="C42" s="32">
        <f>COUNT('Resume Sync'!A2:A998,"*")</f>
        <v>6</v>
      </c>
      <c r="D42" s="32">
        <f>COUNTIF('Resume Sync'!G2:G997,"Pass")</f>
        <v>0</v>
      </c>
      <c r="E42" s="32">
        <f>COUNTIF('Resume Sync'!G2:G997,"Fail")</f>
        <v>0</v>
      </c>
      <c r="F42" s="32">
        <f>COUNTIF('Resume Async'!G2:G997,"NOT RUN")</f>
        <v>0</v>
      </c>
    </row>
    <row r="43" spans="2:6" x14ac:dyDescent="0.2">
      <c r="B43" s="85" t="s">
        <v>30</v>
      </c>
      <c r="C43" s="32">
        <f>COUNT('Suspend Async'!A2:A998,"*")</f>
        <v>4</v>
      </c>
      <c r="D43" s="32">
        <f>COUNTIF('Suspend Async'!G2:G997,"Pass")</f>
        <v>0</v>
      </c>
      <c r="E43" s="32">
        <f>COUNTIF('Suspend Async'!G2:G997,"Fail")</f>
        <v>0</v>
      </c>
      <c r="F43" s="32">
        <f>COUNTIF('Suspend Async'!G2:G997,"NOT RUN")</f>
        <v>0</v>
      </c>
    </row>
    <row r="44" spans="2:6" x14ac:dyDescent="0.2">
      <c r="B44" s="85" t="s">
        <v>31</v>
      </c>
      <c r="C44" s="32">
        <f>COUNT('Resume Async'!A2:A997,"*")</f>
        <v>6</v>
      </c>
      <c r="D44" s="32">
        <f>COUNTIF('Resume Async'!G2:G997,"Pass")</f>
        <v>0</v>
      </c>
      <c r="E44" s="32">
        <f>COUNTIF('Resume Async'!G2:G997,"Fail")</f>
        <v>0</v>
      </c>
      <c r="F44" s="32">
        <f>COUNTIF('Resume Async'!G2:G997,"NOT RUN")</f>
        <v>0</v>
      </c>
    </row>
    <row r="45" spans="2:6" x14ac:dyDescent="0.2">
      <c r="C45"/>
    </row>
    <row r="46" spans="2:6" x14ac:dyDescent="0.2">
      <c r="C46"/>
    </row>
    <row r="47" spans="2:6" x14ac:dyDescent="0.2">
      <c r="C47"/>
    </row>
    <row r="48" spans="2:6" x14ac:dyDescent="0.2">
      <c r="C48"/>
    </row>
    <row r="49" spans="2:4" ht="20" x14ac:dyDescent="0.25">
      <c r="B49" s="118" t="s">
        <v>36</v>
      </c>
      <c r="C49" s="119"/>
      <c r="D49" s="120"/>
    </row>
    <row r="50" spans="2:4" ht="29" customHeight="1" x14ac:dyDescent="0.2">
      <c r="B50" s="108" t="s">
        <v>37</v>
      </c>
      <c r="C50" s="123"/>
      <c r="D50" s="123"/>
    </row>
    <row r="51" spans="2:4" x14ac:dyDescent="0.2">
      <c r="B51" s="109" t="s">
        <v>38</v>
      </c>
      <c r="C51" s="124"/>
      <c r="D51" s="124"/>
    </row>
    <row r="52" spans="2:4" x14ac:dyDescent="0.2">
      <c r="C52"/>
    </row>
    <row r="53" spans="2:4" x14ac:dyDescent="0.2">
      <c r="C53"/>
    </row>
    <row r="54" spans="2:4" x14ac:dyDescent="0.2">
      <c r="C54"/>
    </row>
    <row r="55" spans="2:4" x14ac:dyDescent="0.2">
      <c r="C55"/>
    </row>
    <row r="56" spans="2:4" x14ac:dyDescent="0.2">
      <c r="C56"/>
    </row>
    <row r="57" spans="2:4" x14ac:dyDescent="0.2">
      <c r="C57"/>
    </row>
    <row r="58" spans="2:4" x14ac:dyDescent="0.2">
      <c r="C58"/>
    </row>
    <row r="65" spans="3:3" x14ac:dyDescent="0.2">
      <c r="C65"/>
    </row>
    <row r="66" spans="3:3" x14ac:dyDescent="0.2">
      <c r="C66"/>
    </row>
    <row r="67" spans="3:3" x14ac:dyDescent="0.2">
      <c r="C67"/>
    </row>
    <row r="68" spans="3:3" x14ac:dyDescent="0.2">
      <c r="C68"/>
    </row>
    <row r="69" spans="3:3" x14ac:dyDescent="0.2">
      <c r="C69"/>
    </row>
    <row r="70" spans="3:3" x14ac:dyDescent="0.2">
      <c r="C70"/>
    </row>
    <row r="71" spans="3:3" x14ac:dyDescent="0.2">
      <c r="C71"/>
    </row>
    <row r="72" spans="3:3" x14ac:dyDescent="0.2">
      <c r="C72"/>
    </row>
    <row r="73" spans="3:3" ht="56" customHeight="1" x14ac:dyDescent="0.2">
      <c r="C73"/>
    </row>
    <row r="74" spans="3:3" x14ac:dyDescent="0.2">
      <c r="C74"/>
    </row>
    <row r="75" spans="3:3" x14ac:dyDescent="0.2">
      <c r="C75"/>
    </row>
    <row r="76" spans="3:3" x14ac:dyDescent="0.2">
      <c r="C76"/>
    </row>
    <row r="77" spans="3:3" x14ac:dyDescent="0.2">
      <c r="C77"/>
    </row>
    <row r="78" spans="3:3" x14ac:dyDescent="0.2">
      <c r="C78"/>
    </row>
    <row r="79" spans="3:3" x14ac:dyDescent="0.2">
      <c r="C79"/>
    </row>
    <row r="80" spans="3:3" x14ac:dyDescent="0.2">
      <c r="C80"/>
    </row>
    <row r="81" spans="3:3" x14ac:dyDescent="0.2">
      <c r="C81"/>
    </row>
    <row r="82" spans="3:3" x14ac:dyDescent="0.2">
      <c r="C82"/>
    </row>
    <row r="87" spans="3:3" x14ac:dyDescent="0.2">
      <c r="C87"/>
    </row>
    <row r="88" spans="3:3" x14ac:dyDescent="0.2">
      <c r="C88"/>
    </row>
    <row r="89" spans="3:3" x14ac:dyDescent="0.2">
      <c r="C89"/>
    </row>
    <row r="90" spans="3:3" x14ac:dyDescent="0.2">
      <c r="C90"/>
    </row>
    <row r="91" spans="3:3" x14ac:dyDescent="0.2">
      <c r="C91"/>
    </row>
    <row r="92" spans="3:3" x14ac:dyDescent="0.2">
      <c r="C92"/>
    </row>
    <row r="93" spans="3:3" x14ac:dyDescent="0.2">
      <c r="C93"/>
    </row>
    <row r="94" spans="3:3" x14ac:dyDescent="0.2">
      <c r="C94"/>
    </row>
    <row r="95" spans="3:3" ht="56" customHeight="1" x14ac:dyDescent="0.2">
      <c r="C95"/>
    </row>
    <row r="96" spans="3:3" x14ac:dyDescent="0.2">
      <c r="C96"/>
    </row>
    <row r="97" spans="3:3" x14ac:dyDescent="0.2">
      <c r="C97"/>
    </row>
    <row r="98" spans="3:3" x14ac:dyDescent="0.2">
      <c r="C98"/>
    </row>
    <row r="99" spans="3:3" x14ac:dyDescent="0.2">
      <c r="C99"/>
    </row>
    <row r="100" spans="3:3" x14ac:dyDescent="0.2">
      <c r="C100"/>
    </row>
    <row r="101" spans="3:3" x14ac:dyDescent="0.2">
      <c r="C101"/>
    </row>
    <row r="102" spans="3:3" x14ac:dyDescent="0.2">
      <c r="C102"/>
    </row>
    <row r="103" spans="3:3" x14ac:dyDescent="0.2">
      <c r="C103"/>
    </row>
  </sheetData>
  <mergeCells count="12">
    <mergeCell ref="B49:D49"/>
    <mergeCell ref="C50:D50"/>
    <mergeCell ref="C51:D51"/>
    <mergeCell ref="B9:D9"/>
    <mergeCell ref="B11:D11"/>
    <mergeCell ref="B28:F28"/>
    <mergeCell ref="B8:D8"/>
    <mergeCell ref="B2:D2"/>
    <mergeCell ref="C3:D3"/>
    <mergeCell ref="C4:D4"/>
    <mergeCell ref="C5:D5"/>
    <mergeCell ref="C6:D6"/>
  </mergeCells>
  <conditionalFormatting sqref="C13:C26">
    <cfRule type="cellIs" dxfId="102" priority="1" stopIfTrue="1" operator="equal">
      <formula>"NOT RUN"</formula>
    </cfRule>
    <cfRule type="cellIs" dxfId="101" priority="7" operator="equal">
      <formula>"Failed"</formula>
    </cfRule>
    <cfRule type="cellIs" dxfId="100" priority="8" stopIfTrue="1" operator="equal">
      <formula>"Passed"</formula>
    </cfRule>
  </conditionalFormatting>
  <conditionalFormatting sqref="F13 F15:F26">
    <cfRule type="cellIs" dxfId="99" priority="6" operator="equal">
      <formula>"NOT RUN"</formula>
    </cfRule>
  </conditionalFormatting>
  <conditionalFormatting sqref="F13 F15:F26">
    <cfRule type="cellIs" dxfId="98" priority="5" operator="equal">
      <formula>"Passed"</formula>
    </cfRule>
  </conditionalFormatting>
  <conditionalFormatting sqref="F13 F15:F26">
    <cfRule type="cellIs" dxfId="97" priority="4" operator="equal">
      <formula>"Failed"</formula>
    </cfRule>
  </conditionalFormatting>
  <conditionalFormatting sqref="F13 F15:F26">
    <cfRule type="cellIs" dxfId="96" priority="3" operator="equal">
      <formula>"NOT IN SCOPE"</formula>
    </cfRule>
  </conditionalFormatting>
  <conditionalFormatting sqref="C13:C26 D12:D26">
    <cfRule type="cellIs" dxfId="95" priority="2" operator="equal">
      <formula>"NOT IN SCOPE"</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DB22A82-3F94-49E7-8226-4B913DA3DB00}">
          <x14:formula1>
            <xm:f>'Data Validation'!$C$1:$C$2</xm:f>
          </x14:formula1>
          <xm:sqref>E13:E26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42CB-D494-44BE-845D-657C8A4D5158}">
  <sheetPr codeName="Sheet3">
    <tabColor indexed="50"/>
  </sheetPr>
  <dimension ref="A1:I2"/>
  <sheetViews>
    <sheetView showGridLines="0" workbookViewId="0">
      <selection activeCell="E2" sqref="E2"/>
    </sheetView>
  </sheetViews>
  <sheetFormatPr baseColWidth="10" defaultColWidth="9.1640625" defaultRowHeight="15" x14ac:dyDescent="0.2"/>
  <cols>
    <col min="1" max="1" width="9.33203125" style="2" customWidth="1"/>
    <col min="2" max="2" width="71.6640625" style="2" customWidth="1"/>
    <col min="3" max="3" width="18.33203125" style="2" customWidth="1"/>
    <col min="4" max="4" width="57.83203125" style="2" customWidth="1"/>
    <col min="5" max="5" width="30.6640625" style="2" customWidth="1"/>
    <col min="6" max="6" width="18" style="2" customWidth="1"/>
    <col min="7" max="7" width="13.1640625" style="4" bestFit="1" customWidth="1"/>
    <col min="8" max="8" width="15.83203125" style="2" customWidth="1"/>
    <col min="9" max="9" width="11.1640625" style="2" customWidth="1"/>
    <col min="10" max="16384" width="9.1640625" style="2"/>
  </cols>
  <sheetData>
    <row r="1" spans="1:9" ht="36" x14ac:dyDescent="0.2">
      <c r="A1" s="95" t="s">
        <v>39</v>
      </c>
      <c r="B1" s="107" t="s">
        <v>40</v>
      </c>
      <c r="C1" s="107" t="s">
        <v>41</v>
      </c>
      <c r="D1" s="107" t="s">
        <v>42</v>
      </c>
      <c r="E1" s="107" t="s">
        <v>43</v>
      </c>
      <c r="F1" s="107" t="s">
        <v>44</v>
      </c>
      <c r="G1" s="107" t="s">
        <v>45</v>
      </c>
      <c r="H1" s="107" t="s">
        <v>46</v>
      </c>
      <c r="I1" s="107" t="s">
        <v>47</v>
      </c>
    </row>
    <row r="2" spans="1:9" ht="112" x14ac:dyDescent="0.2">
      <c r="A2" s="68">
        <v>1</v>
      </c>
      <c r="B2" s="59" t="s">
        <v>48</v>
      </c>
      <c r="C2" s="60" t="s">
        <v>49</v>
      </c>
      <c r="D2" s="24" t="s">
        <v>50</v>
      </c>
      <c r="E2" s="24"/>
      <c r="F2" s="61"/>
      <c r="G2" s="89"/>
      <c r="H2" s="110"/>
      <c r="I2" s="7"/>
    </row>
  </sheetData>
  <conditionalFormatting sqref="G3:G1048576">
    <cfRule type="cellIs" dxfId="94" priority="7" operator="equal">
      <formula>"NOT RUN"</formula>
    </cfRule>
    <cfRule type="cellIs" dxfId="93" priority="8" operator="equal">
      <formula>"FAIL"</formula>
    </cfRule>
    <cfRule type="cellIs" dxfId="92" priority="9" operator="equal">
      <formula>"PASS"</formula>
    </cfRule>
  </conditionalFormatting>
  <conditionalFormatting sqref="G1">
    <cfRule type="cellIs" dxfId="91" priority="4" operator="equal">
      <formula>"NO RUN"</formula>
    </cfRule>
    <cfRule type="cellIs" dxfId="90" priority="5" operator="equal">
      <formula>"FAIL"</formula>
    </cfRule>
    <cfRule type="cellIs" dxfId="89" priority="6" operator="equal">
      <formula>"PASS"</formula>
    </cfRule>
  </conditionalFormatting>
  <conditionalFormatting sqref="G2">
    <cfRule type="cellIs" dxfId="88" priority="1" operator="equal">
      <formula>"NOT RUN"</formula>
    </cfRule>
    <cfRule type="cellIs" dxfId="87" priority="2" operator="equal">
      <formula>"FAIL"</formula>
    </cfRule>
    <cfRule type="cellIs" dxfId="86"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E41B7562-5091-49FE-8F3A-16322E27A63A}">
          <x14:formula1>
            <xm:f>'Data Validation'!$A$1:$A$3</xm:f>
          </x14:formula1>
          <xm:sqref>G1</xm:sqref>
        </x14:dataValidation>
        <x14:dataValidation type="list" allowBlank="1" showInputMessage="1" showErrorMessage="1" xr:uid="{6850B9C6-C709-4139-8D59-4B1E855F5D7E}">
          <x14:formula1>
            <xm:f>'Data Validation'!$A$1:$A$3</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3A6F9-56BC-40E4-88AC-9C79FFD482A8}">
  <sheetPr codeName="Sheet4">
    <tabColor indexed="50"/>
  </sheetPr>
  <dimension ref="A1:I5"/>
  <sheetViews>
    <sheetView showGridLines="0" tabSelected="1" zoomScaleNormal="100" workbookViewId="0">
      <pane ySplit="1" topLeftCell="A3" activePane="bottomLeft" state="frozen"/>
      <selection activeCell="C4" sqref="C4"/>
      <selection pane="bottomLeft" activeCell="B2" sqref="B2:C4"/>
    </sheetView>
  </sheetViews>
  <sheetFormatPr baseColWidth="10" defaultColWidth="9.1640625" defaultRowHeight="15" x14ac:dyDescent="0.2"/>
  <cols>
    <col min="1" max="1" width="8.33203125" style="2" customWidth="1"/>
    <col min="2" max="2" width="78.83203125" style="2" bestFit="1" customWidth="1"/>
    <col min="3" max="3" width="18.33203125" style="2" bestFit="1" customWidth="1"/>
    <col min="4" max="4" width="67.33203125" style="2" bestFit="1" customWidth="1"/>
    <col min="5" max="5" width="19.33203125" style="2" bestFit="1" customWidth="1"/>
    <col min="6" max="6" width="16.6640625" style="2" customWidth="1"/>
    <col min="7" max="7" width="13.1640625" style="4" bestFit="1" customWidth="1"/>
    <col min="8" max="8" width="19" style="2" customWidth="1"/>
    <col min="9" max="9" width="12.6640625" style="2" customWidth="1"/>
    <col min="10" max="16384" width="9.1640625" style="2"/>
  </cols>
  <sheetData>
    <row r="1" spans="1:9" ht="57.75" customHeight="1" x14ac:dyDescent="0.2">
      <c r="A1" s="95" t="s">
        <v>39</v>
      </c>
      <c r="B1" s="95" t="s">
        <v>40</v>
      </c>
      <c r="C1" s="95" t="s">
        <v>41</v>
      </c>
      <c r="D1" s="95" t="s">
        <v>42</v>
      </c>
      <c r="E1" s="95" t="s">
        <v>43</v>
      </c>
      <c r="F1" s="95" t="s">
        <v>44</v>
      </c>
      <c r="G1" s="95" t="s">
        <v>45</v>
      </c>
      <c r="H1" s="95" t="s">
        <v>46</v>
      </c>
      <c r="I1" s="107" t="s">
        <v>47</v>
      </c>
    </row>
    <row r="2" spans="1:9" ht="409.6" x14ac:dyDescent="0.2">
      <c r="A2" s="42">
        <v>1</v>
      </c>
      <c r="B2" s="43" t="s">
        <v>51</v>
      </c>
      <c r="C2" s="44" t="s">
        <v>52</v>
      </c>
      <c r="D2" s="33" t="s">
        <v>53</v>
      </c>
      <c r="E2" s="37"/>
      <c r="F2" s="35"/>
      <c r="G2" s="89"/>
      <c r="H2" s="34"/>
      <c r="I2" s="7"/>
    </row>
    <row r="3" spans="1:9" ht="380" x14ac:dyDescent="0.2">
      <c r="A3" s="13">
        <v>2</v>
      </c>
      <c r="B3" s="38" t="s">
        <v>54</v>
      </c>
      <c r="C3" s="18" t="s">
        <v>52</v>
      </c>
      <c r="D3" s="12" t="s">
        <v>55</v>
      </c>
      <c r="E3" s="12"/>
      <c r="F3" s="13"/>
      <c r="G3" s="89"/>
      <c r="H3" s="7"/>
      <c r="I3" s="7"/>
    </row>
    <row r="4" spans="1:9" ht="32" x14ac:dyDescent="0.2">
      <c r="A4" s="13">
        <v>3</v>
      </c>
      <c r="B4" s="16" t="s">
        <v>56</v>
      </c>
      <c r="C4" s="13"/>
      <c r="D4" s="12" t="s">
        <v>57</v>
      </c>
      <c r="E4" s="12"/>
      <c r="F4" s="13"/>
      <c r="G4" s="89"/>
      <c r="H4" s="7"/>
      <c r="I4" s="7"/>
    </row>
    <row r="5" spans="1:9" ht="380" x14ac:dyDescent="0.2">
      <c r="A5" s="13">
        <v>4</v>
      </c>
      <c r="B5" s="62" t="s">
        <v>54</v>
      </c>
      <c r="C5" s="13" t="s">
        <v>58</v>
      </c>
      <c r="D5" s="9" t="s">
        <v>59</v>
      </c>
      <c r="E5" s="9"/>
      <c r="F5" s="13"/>
      <c r="G5" s="89"/>
      <c r="H5" s="7"/>
      <c r="I5" s="7"/>
    </row>
  </sheetData>
  <conditionalFormatting sqref="G6:G1048576">
    <cfRule type="cellIs" dxfId="85" priority="7" operator="equal">
      <formula>"NOT RUN"</formula>
    </cfRule>
    <cfRule type="cellIs" dxfId="84" priority="8" operator="equal">
      <formula>"FAIL"</formula>
    </cfRule>
    <cfRule type="cellIs" dxfId="83" priority="9" operator="equal">
      <formula>"PASS"</formula>
    </cfRule>
  </conditionalFormatting>
  <conditionalFormatting sqref="G1">
    <cfRule type="cellIs" dxfId="82" priority="4" operator="equal">
      <formula>"NO RUN"</formula>
    </cfRule>
    <cfRule type="cellIs" dxfId="81" priority="5" operator="equal">
      <formula>"FAIL"</formula>
    </cfRule>
    <cfRule type="cellIs" dxfId="80" priority="6" operator="equal">
      <formula>"PASS"</formula>
    </cfRule>
  </conditionalFormatting>
  <conditionalFormatting sqref="G2:G5">
    <cfRule type="cellIs" dxfId="79" priority="1" operator="equal">
      <formula>"NOT RUN"</formula>
    </cfRule>
    <cfRule type="cellIs" dxfId="78" priority="2" operator="equal">
      <formula>"FAIL"</formula>
    </cfRule>
    <cfRule type="cellIs" dxfId="77"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C2E542EA-ED5B-4017-9ACB-D9B0ADEF6E7F}">
          <x14:formula1>
            <xm:f>'Data Validation'!$A$1:$A$3</xm:f>
          </x14:formula1>
          <xm:sqref>G2:G1048576</xm:sqref>
        </x14:dataValidation>
        <x14:dataValidation type="list" allowBlank="1" showInputMessage="1" xr:uid="{A2A556DC-032D-4F2E-9026-A41BEBC2C23D}">
          <x14:formula1>
            <xm:f>'Data Validation'!$A$1:$A$3</xm:f>
          </x14:formula1>
          <xm:sqref>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5C61A-0F6C-4FBA-BBF5-1FF37882C037}">
  <sheetPr codeName="Sheet5">
    <tabColor indexed="50"/>
  </sheetPr>
  <dimension ref="A1:I5"/>
  <sheetViews>
    <sheetView showGridLines="0" workbookViewId="0">
      <pane ySplit="1" topLeftCell="A2" activePane="bottomLeft" state="frozen"/>
      <selection activeCell="C4" sqref="C4"/>
      <selection pane="bottomLeft" activeCell="C4" sqref="C4"/>
    </sheetView>
  </sheetViews>
  <sheetFormatPr baseColWidth="10" defaultColWidth="9.1640625" defaultRowHeight="15" x14ac:dyDescent="0.2"/>
  <cols>
    <col min="1" max="1" width="10.33203125" style="2" bestFit="1" customWidth="1"/>
    <col min="2" max="2" width="79.6640625" style="2" bestFit="1" customWidth="1"/>
    <col min="3" max="3" width="22.33203125" style="2" bestFit="1" customWidth="1"/>
    <col min="4" max="4" width="57.83203125" style="2" customWidth="1"/>
    <col min="5" max="5" width="19.33203125" style="2" bestFit="1" customWidth="1"/>
    <col min="6" max="6" width="18" style="2" customWidth="1"/>
    <col min="7" max="7" width="17.1640625" style="4" customWidth="1"/>
    <col min="8" max="8" width="14.83203125" style="2" customWidth="1"/>
    <col min="9" max="16384" width="9.1640625" style="2"/>
  </cols>
  <sheetData>
    <row r="1" spans="1:9" ht="54" x14ac:dyDescent="0.2">
      <c r="A1" s="95" t="s">
        <v>39</v>
      </c>
      <c r="B1" s="95" t="s">
        <v>40</v>
      </c>
      <c r="C1" s="95" t="s">
        <v>41</v>
      </c>
      <c r="D1" s="95" t="s">
        <v>60</v>
      </c>
      <c r="E1" s="95" t="s">
        <v>61</v>
      </c>
      <c r="F1" s="95" t="s">
        <v>44</v>
      </c>
      <c r="G1" s="95" t="s">
        <v>45</v>
      </c>
      <c r="H1" s="95" t="s">
        <v>46</v>
      </c>
      <c r="I1" s="107" t="s">
        <v>47</v>
      </c>
    </row>
    <row r="2" spans="1:9" ht="409.6" x14ac:dyDescent="0.2">
      <c r="A2" s="31">
        <v>1</v>
      </c>
      <c r="B2" s="36" t="s">
        <v>62</v>
      </c>
      <c r="C2" s="31" t="s">
        <v>52</v>
      </c>
      <c r="D2" s="12" t="s">
        <v>63</v>
      </c>
      <c r="E2" s="12"/>
      <c r="F2" s="13"/>
      <c r="G2" s="5"/>
      <c r="H2" s="7"/>
      <c r="I2" s="7"/>
    </row>
    <row r="3" spans="1:9" ht="32" x14ac:dyDescent="0.2">
      <c r="A3" s="31">
        <v>2</v>
      </c>
      <c r="B3" s="36" t="s">
        <v>64</v>
      </c>
      <c r="C3" s="31"/>
      <c r="D3" s="12" t="s">
        <v>57</v>
      </c>
      <c r="E3" s="12"/>
      <c r="F3" s="13"/>
      <c r="G3" s="5"/>
      <c r="H3" s="7"/>
      <c r="I3" s="7"/>
    </row>
    <row r="4" spans="1:9" ht="380" x14ac:dyDescent="0.2">
      <c r="A4" s="31">
        <v>3</v>
      </c>
      <c r="B4" s="40" t="s">
        <v>54</v>
      </c>
      <c r="C4" s="31" t="s">
        <v>58</v>
      </c>
      <c r="D4" s="12" t="s">
        <v>65</v>
      </c>
      <c r="E4" s="12"/>
      <c r="F4" s="13"/>
      <c r="G4" s="5"/>
      <c r="H4" s="7"/>
      <c r="I4" s="7"/>
    </row>
    <row r="5" spans="1:9" ht="395" x14ac:dyDescent="0.2">
      <c r="A5" s="31">
        <v>4</v>
      </c>
      <c r="B5" s="36" t="s">
        <v>66</v>
      </c>
      <c r="C5" s="31" t="s">
        <v>67</v>
      </c>
      <c r="D5" s="12" t="s">
        <v>68</v>
      </c>
      <c r="E5" s="12"/>
      <c r="F5" s="13"/>
      <c r="G5" s="5"/>
      <c r="H5" s="7"/>
      <c r="I5" s="7"/>
    </row>
  </sheetData>
  <conditionalFormatting sqref="G2:G1048576">
    <cfRule type="cellIs" dxfId="76" priority="4" operator="equal">
      <formula>"NOT RUN"</formula>
    </cfRule>
    <cfRule type="cellIs" dxfId="75" priority="5" operator="equal">
      <formula>"FAIL"</formula>
    </cfRule>
    <cfRule type="cellIs" dxfId="74" priority="6" operator="equal">
      <formula>"PASS"</formula>
    </cfRule>
  </conditionalFormatting>
  <conditionalFormatting sqref="G1">
    <cfRule type="cellIs" dxfId="73" priority="1" operator="equal">
      <formula>"NOT RUN"</formula>
    </cfRule>
    <cfRule type="cellIs" dxfId="72" priority="2" operator="equal">
      <formula>"FAIL"</formula>
    </cfRule>
    <cfRule type="cellIs" dxfId="71"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45B5591F-DAF3-4C9C-BC86-C264762AA278}">
          <x14:formula1>
            <xm:f>'Data Validation'!$A$1:$A$3</xm:f>
          </x14:formula1>
          <xm:sqref>G1</xm:sqref>
        </x14:dataValidation>
        <x14:dataValidation type="list" allowBlank="1" showInputMessage="1" showErrorMessage="1" xr:uid="{6A14FB37-1D2C-4FDD-BCB8-6D2CD9DE2029}">
          <x14:formula1>
            <xm:f>'Data Validation'!$A$1:$A$3</xm:f>
          </x14:formula1>
          <xm:sqref>G2:G1048576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35332-42FD-4AD0-A3D9-CA0EF324F19F}">
  <sheetPr codeName="Sheet8">
    <tabColor indexed="50"/>
  </sheetPr>
  <dimension ref="A1:I7"/>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8.33203125" style="2" bestFit="1" customWidth="1"/>
    <col min="2" max="2" width="81.83203125" style="2" bestFit="1" customWidth="1"/>
    <col min="3" max="3" width="19.1640625" style="2" bestFit="1" customWidth="1"/>
    <col min="4" max="4" width="57" style="2" bestFit="1" customWidth="1"/>
    <col min="5" max="5" width="19.33203125" style="2" bestFit="1" customWidth="1"/>
    <col min="6" max="6" width="15.83203125" style="2" customWidth="1"/>
    <col min="7" max="7" width="13.1640625" style="91" bestFit="1" customWidth="1"/>
    <col min="8" max="8" width="14.83203125" style="2" customWidth="1"/>
    <col min="9" max="9" width="14" style="2" customWidth="1"/>
    <col min="10" max="16384" width="9.1640625" style="2"/>
  </cols>
  <sheetData>
    <row r="1" spans="1:9" ht="36" x14ac:dyDescent="0.2">
      <c r="A1" s="106" t="s">
        <v>39</v>
      </c>
      <c r="B1" s="95" t="s">
        <v>40</v>
      </c>
      <c r="C1" s="95" t="s">
        <v>41</v>
      </c>
      <c r="D1" s="95" t="s">
        <v>60</v>
      </c>
      <c r="E1" s="95" t="s">
        <v>61</v>
      </c>
      <c r="F1" s="95" t="s">
        <v>44</v>
      </c>
      <c r="G1" s="96" t="s">
        <v>45</v>
      </c>
      <c r="H1" s="95" t="s">
        <v>46</v>
      </c>
      <c r="I1" s="107" t="s">
        <v>47</v>
      </c>
    </row>
    <row r="2" spans="1:9" ht="409.6" x14ac:dyDescent="0.2">
      <c r="A2" s="45">
        <v>1</v>
      </c>
      <c r="B2" s="43" t="s">
        <v>82</v>
      </c>
      <c r="C2" s="46" t="s">
        <v>83</v>
      </c>
      <c r="D2" s="29" t="s">
        <v>63</v>
      </c>
      <c r="E2" s="29"/>
      <c r="F2" s="28"/>
      <c r="G2" s="90"/>
      <c r="H2" s="7"/>
      <c r="I2" s="7"/>
    </row>
    <row r="3" spans="1:9" ht="409.6" x14ac:dyDescent="0.2">
      <c r="A3" s="52">
        <v>2</v>
      </c>
      <c r="B3" s="53" t="s">
        <v>54</v>
      </c>
      <c r="C3" s="17" t="s">
        <v>52</v>
      </c>
      <c r="D3" s="16" t="s">
        <v>84</v>
      </c>
      <c r="E3" s="16"/>
      <c r="F3" s="7"/>
      <c r="G3" s="90"/>
      <c r="H3" s="7"/>
      <c r="I3" s="7"/>
    </row>
    <row r="4" spans="1:9" ht="32" x14ac:dyDescent="0.2">
      <c r="A4" s="28">
        <v>3</v>
      </c>
      <c r="B4" s="16" t="s">
        <v>56</v>
      </c>
      <c r="C4" s="13"/>
      <c r="D4" s="12" t="s">
        <v>57</v>
      </c>
      <c r="E4" s="12"/>
      <c r="F4" s="13"/>
      <c r="G4" s="90"/>
      <c r="H4" s="7"/>
      <c r="I4" s="7"/>
    </row>
    <row r="5" spans="1:9" ht="380" x14ac:dyDescent="0.2">
      <c r="A5" s="31">
        <v>4</v>
      </c>
      <c r="B5" s="17" t="s">
        <v>54</v>
      </c>
      <c r="C5" s="17" t="s">
        <v>85</v>
      </c>
      <c r="D5" s="12" t="s">
        <v>72</v>
      </c>
      <c r="E5" s="12"/>
      <c r="F5" s="13"/>
      <c r="G5" s="90"/>
      <c r="H5" s="7"/>
      <c r="I5" s="7"/>
    </row>
    <row r="6" spans="1:9" ht="409.6" x14ac:dyDescent="0.2">
      <c r="A6" s="31">
        <v>5</v>
      </c>
      <c r="B6" s="38" t="s">
        <v>86</v>
      </c>
      <c r="C6" s="17" t="s">
        <v>67</v>
      </c>
      <c r="D6" s="12" t="s">
        <v>87</v>
      </c>
      <c r="E6" s="12"/>
      <c r="F6" s="13"/>
      <c r="G6" s="90"/>
      <c r="H6" s="7"/>
      <c r="I6" s="7"/>
    </row>
    <row r="7" spans="1:9" ht="395" x14ac:dyDescent="0.2">
      <c r="A7" s="47">
        <v>6</v>
      </c>
      <c r="B7" s="48" t="s">
        <v>88</v>
      </c>
      <c r="C7" s="47" t="s">
        <v>67</v>
      </c>
      <c r="D7" s="49" t="s">
        <v>68</v>
      </c>
      <c r="E7" s="49"/>
      <c r="F7" s="50"/>
      <c r="G7" s="90"/>
      <c r="H7" s="7"/>
      <c r="I7" s="7"/>
    </row>
  </sheetData>
  <conditionalFormatting sqref="G2:G1048576">
    <cfRule type="cellIs" dxfId="70" priority="4" operator="equal">
      <formula>"NOT RUN"</formula>
    </cfRule>
    <cfRule type="cellIs" dxfId="69" priority="5" operator="equal">
      <formula>"FAIL"</formula>
    </cfRule>
    <cfRule type="cellIs" dxfId="68" priority="6" operator="equal">
      <formula>"PASS"</formula>
    </cfRule>
  </conditionalFormatting>
  <conditionalFormatting sqref="G1">
    <cfRule type="cellIs" dxfId="67" priority="1" operator="equal">
      <formula>"NOT RUN"</formula>
    </cfRule>
    <cfRule type="cellIs" dxfId="66" priority="2" operator="equal">
      <formula>"FAIL"</formula>
    </cfRule>
    <cfRule type="cellIs" dxfId="65"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C1B8BF67-FBBA-4078-A729-2B0053A2E43E}">
          <x14:formula1>
            <xm:f>'Data Validation'!$A$1:$A$3</xm:f>
          </x14:formula1>
          <xm:sqref>G1</xm:sqref>
        </x14:dataValidation>
        <x14:dataValidation type="list" allowBlank="1" showInputMessage="1" showErrorMessage="1" xr:uid="{16875FA8-EA7F-4499-8CBD-AB68251FCE8D}">
          <x14:formula1>
            <xm:f>'Data Validation'!$A$1:$A$3</xm:f>
          </x14:formula1>
          <xm:sqref>G2:G1048576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79F1-87F5-4DB3-A419-FD26AC1DCE11}">
  <sheetPr codeName="Sheet6">
    <tabColor indexed="50"/>
  </sheetPr>
  <dimension ref="A1:I6"/>
  <sheetViews>
    <sheetView showGridLines="0" workbookViewId="0">
      <pane ySplit="1" topLeftCell="A4" activePane="bottomLeft" state="frozen"/>
      <selection activeCell="C4" sqref="C4"/>
      <selection pane="bottomLeft" activeCell="B5" sqref="B5"/>
    </sheetView>
  </sheetViews>
  <sheetFormatPr baseColWidth="10" defaultColWidth="9.1640625" defaultRowHeight="15" x14ac:dyDescent="0.2"/>
  <cols>
    <col min="1" max="1" width="10.33203125" style="2" bestFit="1" customWidth="1"/>
    <col min="2" max="2" width="79.6640625" style="2" bestFit="1" customWidth="1"/>
    <col min="3" max="3" width="22.33203125" style="2" bestFit="1" customWidth="1"/>
    <col min="4" max="4" width="57.83203125" style="2" customWidth="1"/>
    <col min="5" max="5" width="19.33203125" style="2" bestFit="1" customWidth="1"/>
    <col min="6" max="6" width="18" style="2" customWidth="1"/>
    <col min="7" max="7" width="13.83203125" style="4" customWidth="1"/>
    <col min="8" max="8" width="14.83203125" style="2" customWidth="1"/>
    <col min="9" max="16384" width="9.1640625" style="2"/>
  </cols>
  <sheetData>
    <row r="1" spans="1:9" ht="54" x14ac:dyDescent="0.2">
      <c r="A1" s="95" t="s">
        <v>39</v>
      </c>
      <c r="B1" s="95" t="s">
        <v>40</v>
      </c>
      <c r="C1" s="95" t="s">
        <v>41</v>
      </c>
      <c r="D1" s="95" t="s">
        <v>60</v>
      </c>
      <c r="E1" s="95" t="s">
        <v>61</v>
      </c>
      <c r="F1" s="95" t="s">
        <v>44</v>
      </c>
      <c r="G1" s="95" t="s">
        <v>45</v>
      </c>
      <c r="H1" s="95" t="s">
        <v>46</v>
      </c>
      <c r="I1" s="107" t="s">
        <v>47</v>
      </c>
    </row>
    <row r="2" spans="1:9" ht="409.6" x14ac:dyDescent="0.2">
      <c r="A2" s="13">
        <v>1</v>
      </c>
      <c r="B2" s="40" t="s">
        <v>51</v>
      </c>
      <c r="C2" s="39" t="s">
        <v>52</v>
      </c>
      <c r="D2" s="12" t="s">
        <v>69</v>
      </c>
      <c r="E2" s="12"/>
      <c r="F2" s="13"/>
      <c r="G2" s="5"/>
      <c r="H2" s="7"/>
      <c r="I2" s="7"/>
    </row>
    <row r="3" spans="1:9" ht="32" x14ac:dyDescent="0.2">
      <c r="A3" s="13">
        <v>2</v>
      </c>
      <c r="B3" s="16" t="s">
        <v>70</v>
      </c>
      <c r="C3" s="13"/>
      <c r="D3" s="12" t="s">
        <v>57</v>
      </c>
      <c r="E3" s="12"/>
      <c r="F3" s="13"/>
      <c r="G3" s="5"/>
      <c r="H3" s="7"/>
      <c r="I3" s="7"/>
    </row>
    <row r="4" spans="1:9" ht="380" x14ac:dyDescent="0.2">
      <c r="A4" s="13">
        <v>3</v>
      </c>
      <c r="B4" s="62" t="s">
        <v>71</v>
      </c>
      <c r="C4" s="13" t="s">
        <v>58</v>
      </c>
      <c r="D4" s="12" t="s">
        <v>72</v>
      </c>
      <c r="E4" s="12"/>
      <c r="F4" s="13"/>
      <c r="G4" s="5"/>
      <c r="H4" s="7"/>
      <c r="I4" s="7"/>
    </row>
    <row r="5" spans="1:9" ht="395" x14ac:dyDescent="0.2">
      <c r="A5" s="17">
        <v>4</v>
      </c>
      <c r="B5" s="17" t="s">
        <v>73</v>
      </c>
      <c r="C5" s="15" t="s">
        <v>58</v>
      </c>
      <c r="D5" s="64" t="s">
        <v>74</v>
      </c>
      <c r="E5" s="64"/>
      <c r="F5" s="7"/>
      <c r="G5" s="5"/>
      <c r="H5" s="7"/>
      <c r="I5" s="7"/>
    </row>
    <row r="6" spans="1:9" ht="380" x14ac:dyDescent="0.2">
      <c r="A6" s="7">
        <v>5</v>
      </c>
      <c r="B6" s="67" t="s">
        <v>75</v>
      </c>
      <c r="C6" s="13" t="s">
        <v>58</v>
      </c>
      <c r="D6" s="12" t="s">
        <v>76</v>
      </c>
      <c r="E6" s="12"/>
      <c r="F6" s="7"/>
      <c r="G6" s="5"/>
      <c r="H6" s="7"/>
      <c r="I6" s="7"/>
    </row>
  </sheetData>
  <conditionalFormatting sqref="G2:G1048576">
    <cfRule type="cellIs" dxfId="64" priority="4" operator="equal">
      <formula>"NOT RUN"</formula>
    </cfRule>
    <cfRule type="cellIs" dxfId="63" priority="5" operator="equal">
      <formula>"FAIL"</formula>
    </cfRule>
    <cfRule type="cellIs" dxfId="62" priority="6" operator="equal">
      <formula>"PASS"</formula>
    </cfRule>
  </conditionalFormatting>
  <conditionalFormatting sqref="G1">
    <cfRule type="cellIs" dxfId="61" priority="1" operator="equal">
      <formula>"NOT RUN"</formula>
    </cfRule>
    <cfRule type="cellIs" dxfId="60" priority="2" operator="equal">
      <formula>"FAIL"</formula>
    </cfRule>
    <cfRule type="cellIs" dxfId="59"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6B0DAFC3-334A-4625-9484-4591F7084FB9}">
          <x14:formula1>
            <xm:f>'Data Validation'!$A$1:$A$3</xm:f>
          </x14:formula1>
          <xm:sqref>G1</xm:sqref>
        </x14:dataValidation>
        <x14:dataValidation type="list" allowBlank="1" showInputMessage="1" showErrorMessage="1" xr:uid="{2A63AEDD-0939-4722-9196-55F1F5B56C32}">
          <x14:formula1>
            <xm:f>'Data Validation'!$A$1:$A$3</xm:f>
          </x14:formula1>
          <xm:sqref>G2:G1048576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4AD5-B51E-491E-8624-C487A5556970}">
  <sheetPr codeName="Sheet7">
    <tabColor indexed="50"/>
  </sheetPr>
  <dimension ref="A1:I9"/>
  <sheetViews>
    <sheetView showGridLines="0" topLeftCell="C1" workbookViewId="0">
      <pane ySplit="1" topLeftCell="A2" activePane="bottomLeft" state="frozen"/>
      <selection pane="bottomLeft" activeCell="I1" sqref="I1:I2"/>
    </sheetView>
  </sheetViews>
  <sheetFormatPr baseColWidth="10" defaultColWidth="9.1640625" defaultRowHeight="15" x14ac:dyDescent="0.2"/>
  <cols>
    <col min="1" max="1" width="10.33203125" style="19" bestFit="1" customWidth="1"/>
    <col min="2" max="2" width="79.6640625" style="19" bestFit="1" customWidth="1"/>
    <col min="3" max="3" width="22.33203125" style="19" bestFit="1" customWidth="1"/>
    <col min="4" max="4" width="61.1640625" style="19" customWidth="1"/>
    <col min="5" max="5" width="19.33203125" style="19" bestFit="1" customWidth="1"/>
    <col min="6" max="6" width="18" style="19" customWidth="1"/>
    <col min="7" max="7" width="13.83203125" style="4" customWidth="1"/>
    <col min="8" max="8" width="14.83203125" style="2" customWidth="1"/>
    <col min="9" max="9" width="9.1640625" style="19" customWidth="1"/>
    <col min="10" max="16384" width="9.1640625" style="19"/>
  </cols>
  <sheetData>
    <row r="1" spans="1:9" ht="54" x14ac:dyDescent="0.2">
      <c r="A1" s="106" t="s">
        <v>39</v>
      </c>
      <c r="B1" s="103" t="s">
        <v>40</v>
      </c>
      <c r="C1" s="103" t="s">
        <v>77</v>
      </c>
      <c r="D1" s="103" t="s">
        <v>60</v>
      </c>
      <c r="E1" s="103" t="s">
        <v>61</v>
      </c>
      <c r="F1" s="103" t="s">
        <v>44</v>
      </c>
      <c r="G1" s="105" t="s">
        <v>45</v>
      </c>
      <c r="H1" s="95" t="s">
        <v>46</v>
      </c>
      <c r="I1" s="107" t="s">
        <v>47</v>
      </c>
    </row>
    <row r="2" spans="1:9" ht="409.6" x14ac:dyDescent="0.2">
      <c r="A2" s="41">
        <v>1</v>
      </c>
      <c r="B2" s="41" t="s">
        <v>78</v>
      </c>
      <c r="C2" s="41" t="s">
        <v>52</v>
      </c>
      <c r="D2" s="10" t="s">
        <v>69</v>
      </c>
      <c r="E2" s="10"/>
      <c r="F2" s="10"/>
      <c r="G2" s="5"/>
      <c r="H2" s="7"/>
      <c r="I2" s="7"/>
    </row>
    <row r="3" spans="1:9" ht="32" x14ac:dyDescent="0.2">
      <c r="A3" s="17">
        <v>2</v>
      </c>
      <c r="B3" s="16" t="s">
        <v>56</v>
      </c>
      <c r="C3" s="13"/>
      <c r="D3" s="12" t="s">
        <v>57</v>
      </c>
      <c r="E3" s="12"/>
      <c r="F3" s="13"/>
      <c r="G3" s="5"/>
      <c r="H3" s="7"/>
      <c r="I3" s="111"/>
    </row>
    <row r="4" spans="1:9" ht="365" x14ac:dyDescent="0.2">
      <c r="A4" s="9">
        <v>3</v>
      </c>
      <c r="B4" s="67" t="s">
        <v>79</v>
      </c>
      <c r="C4" s="11" t="s">
        <v>80</v>
      </c>
      <c r="D4" s="9" t="s">
        <v>81</v>
      </c>
      <c r="E4" s="9"/>
      <c r="F4" s="9"/>
      <c r="G4" s="5"/>
      <c r="H4" s="7"/>
      <c r="I4" s="111"/>
    </row>
    <row r="5" spans="1:9" x14ac:dyDescent="0.2">
      <c r="H5" s="4"/>
    </row>
    <row r="6" spans="1:9" x14ac:dyDescent="0.2">
      <c r="H6" s="4"/>
    </row>
    <row r="7" spans="1:9" x14ac:dyDescent="0.2">
      <c r="H7" s="4"/>
    </row>
    <row r="8" spans="1:9" x14ac:dyDescent="0.2">
      <c r="H8" s="4"/>
    </row>
    <row r="9" spans="1:9" x14ac:dyDescent="0.2">
      <c r="H9" s="4"/>
    </row>
  </sheetData>
  <conditionalFormatting sqref="G3">
    <cfRule type="cellIs" dxfId="58" priority="10" operator="equal">
      <formula>"PASS"</formula>
    </cfRule>
  </conditionalFormatting>
  <conditionalFormatting sqref="G2:G1048576">
    <cfRule type="cellIs" dxfId="57" priority="7" operator="equal">
      <formula>"NOT RUN"</formula>
    </cfRule>
    <cfRule type="cellIs" dxfId="56" priority="8" operator="equal">
      <formula>"FAIL"</formula>
    </cfRule>
    <cfRule type="cellIs" dxfId="55" priority="9" operator="equal">
      <formula>"PASS"</formula>
    </cfRule>
  </conditionalFormatting>
  <conditionalFormatting sqref="G1">
    <cfRule type="cellIs" dxfId="54" priority="4" operator="equal">
      <formula>"NOT RUN"</formula>
    </cfRule>
    <cfRule type="cellIs" dxfId="53" priority="5" operator="equal">
      <formula>"FAIL"</formula>
    </cfRule>
    <cfRule type="cellIs" dxfId="52" priority="6" operator="equal">
      <formula>"PASS"</formula>
    </cfRule>
  </conditionalFormatting>
  <conditionalFormatting sqref="H5:H9">
    <cfRule type="cellIs" dxfId="51" priority="1" operator="equal">
      <formula>"NO RUN"</formula>
    </cfRule>
    <cfRule type="cellIs" dxfId="50" priority="2" operator="equal">
      <formula>"FAIL"</formula>
    </cfRule>
    <cfRule type="cellIs" dxfId="49"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8B9E49B3-1CD2-44D6-B1D5-1D440414C53E}">
          <x14:formula1>
            <xm:f>'Data Validation'!$A$1:$A$3</xm:f>
          </x14:formula1>
          <xm:sqref>G1</xm:sqref>
        </x14:dataValidation>
        <x14:dataValidation type="list" allowBlank="1" showInputMessage="1" showErrorMessage="1" xr:uid="{0A67ED1E-D052-4FD2-BF6B-0A4BD1D640B9}">
          <x14:formula1>
            <xm:f>'Data Validation'!$A$1:$A$3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5A3B8-CAC5-45D2-A2B0-6BBC8486823B}">
  <sheetPr codeName="Sheet9">
    <tabColor indexed="50"/>
  </sheetPr>
  <dimension ref="A1:I7"/>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10.33203125" style="4"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3.83203125" style="4" customWidth="1"/>
    <col min="8" max="8" width="14.83203125" style="2" customWidth="1"/>
    <col min="9" max="16384" width="9.1640625" style="4"/>
  </cols>
  <sheetData>
    <row r="1" spans="1:9" ht="54" x14ac:dyDescent="0.2">
      <c r="A1" s="102" t="s">
        <v>39</v>
      </c>
      <c r="B1" s="103" t="s">
        <v>40</v>
      </c>
      <c r="C1" s="103" t="s">
        <v>41</v>
      </c>
      <c r="D1" s="103" t="s">
        <v>89</v>
      </c>
      <c r="E1" s="103" t="s">
        <v>61</v>
      </c>
      <c r="F1" s="103" t="s">
        <v>44</v>
      </c>
      <c r="G1" s="105" t="s">
        <v>45</v>
      </c>
      <c r="H1" s="95" t="s">
        <v>46</v>
      </c>
      <c r="I1" s="107" t="s">
        <v>47</v>
      </c>
    </row>
    <row r="2" spans="1:9" ht="409.6" x14ac:dyDescent="0.2">
      <c r="A2" s="54">
        <v>1</v>
      </c>
      <c r="B2" s="55" t="s">
        <v>90</v>
      </c>
      <c r="C2" s="55" t="s">
        <v>52</v>
      </c>
      <c r="D2" s="16" t="s">
        <v>69</v>
      </c>
      <c r="E2" s="16"/>
      <c r="F2" s="12"/>
      <c r="G2" s="5"/>
      <c r="H2" s="112"/>
      <c r="I2" s="7"/>
    </row>
    <row r="3" spans="1:9" ht="32" x14ac:dyDescent="0.2">
      <c r="A3" s="12">
        <v>2</v>
      </c>
      <c r="B3" s="16" t="s">
        <v>56</v>
      </c>
      <c r="C3" s="16"/>
      <c r="D3" s="16" t="s">
        <v>91</v>
      </c>
      <c r="E3" s="16"/>
      <c r="F3" s="12"/>
      <c r="G3" s="51"/>
      <c r="H3" s="92"/>
      <c r="I3" s="15"/>
    </row>
    <row r="4" spans="1:9" ht="409.6" x14ac:dyDescent="0.2">
      <c r="A4" s="21">
        <v>3</v>
      </c>
      <c r="B4" s="14" t="s">
        <v>71</v>
      </c>
      <c r="C4" s="14" t="s">
        <v>58</v>
      </c>
      <c r="D4" s="16" t="s">
        <v>92</v>
      </c>
      <c r="E4" s="16"/>
      <c r="F4" s="12"/>
      <c r="G4" s="51"/>
      <c r="H4" s="92"/>
      <c r="I4" s="15"/>
    </row>
    <row r="5" spans="1:9" ht="409.6" x14ac:dyDescent="0.2">
      <c r="A5" s="22">
        <v>4</v>
      </c>
      <c r="B5" s="23" t="s">
        <v>93</v>
      </c>
      <c r="C5" s="22" t="s">
        <v>80</v>
      </c>
      <c r="D5" s="23" t="s">
        <v>94</v>
      </c>
      <c r="E5" s="23"/>
      <c r="F5" s="22"/>
      <c r="G5" s="65"/>
      <c r="H5" s="92"/>
      <c r="I5" s="15"/>
    </row>
    <row r="6" spans="1:9" ht="395" x14ac:dyDescent="0.2">
      <c r="A6" s="24">
        <v>5</v>
      </c>
      <c r="B6" s="20" t="s">
        <v>95</v>
      </c>
      <c r="C6" s="20" t="s">
        <v>96</v>
      </c>
      <c r="D6" s="20" t="s">
        <v>97</v>
      </c>
      <c r="E6" s="20"/>
      <c r="F6" s="24"/>
      <c r="G6" s="66"/>
      <c r="H6" s="92"/>
      <c r="I6" s="15"/>
    </row>
    <row r="7" spans="1:9" x14ac:dyDescent="0.2">
      <c r="A7" s="6"/>
      <c r="H7" s="4"/>
    </row>
  </sheetData>
  <conditionalFormatting sqref="G2:G1048576">
    <cfRule type="cellIs" dxfId="48" priority="7" operator="equal">
      <formula>"NOT RUN"</formula>
    </cfRule>
    <cfRule type="cellIs" dxfId="47" priority="8" operator="equal">
      <formula>"FAIL"</formula>
    </cfRule>
    <cfRule type="cellIs" dxfId="46" priority="9" operator="equal">
      <formula>"PASS"</formula>
    </cfRule>
  </conditionalFormatting>
  <conditionalFormatting sqref="D1:E1">
    <cfRule type="cellIs" dxfId="45" priority="4" operator="equal">
      <formula>"NO RUN"</formula>
    </cfRule>
    <cfRule type="cellIs" dxfId="44" priority="5" operator="equal">
      <formula>"FAIL"</formula>
    </cfRule>
    <cfRule type="cellIs" dxfId="43" priority="6" operator="equal">
      <formula>"PASS"</formula>
    </cfRule>
  </conditionalFormatting>
  <conditionalFormatting sqref="H3:H7">
    <cfRule type="cellIs" dxfId="42" priority="1" operator="equal">
      <formula>"NO RUN"</formula>
    </cfRule>
    <cfRule type="cellIs" dxfId="41" priority="2" operator="equal">
      <formula>"FAIL"</formula>
    </cfRule>
    <cfRule type="cellIs" dxfId="40"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B893F631-0050-4609-8D2B-08CCF311DFAB}">
          <x14:formula1>
            <xm:f>'Data Validation'!$A$1:$A$3</xm:f>
          </x14:formula1>
          <xm:sqref>G1</xm:sqref>
        </x14:dataValidation>
        <x14:dataValidation type="list" allowBlank="1" showInputMessage="1" showErrorMessage="1" xr:uid="{17BAEB7C-67E9-4A7C-AEFA-0ABE58A30D7B}">
          <x14:formula1>
            <xm:f>'Data Validation'!$A$1:$A$3</xm:f>
          </x14:formula1>
          <xm:sqref>G2:G1048576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C410-5A93-4EF9-A718-C2473E6D5E76}">
  <sheetPr codeName="Sheet10">
    <tabColor indexed="50"/>
  </sheetPr>
  <dimension ref="A1:I8"/>
  <sheetViews>
    <sheetView showGridLines="0" topLeftCell="B1" workbookViewId="0">
      <pane ySplit="1" topLeftCell="A2" activePane="bottomLeft" state="frozen"/>
      <selection pane="bottomLeft" activeCell="I1" sqref="I1:I2"/>
    </sheetView>
  </sheetViews>
  <sheetFormatPr baseColWidth="10" defaultColWidth="9.1640625" defaultRowHeight="15" x14ac:dyDescent="0.2"/>
  <cols>
    <col min="1" max="1" width="9.1640625" style="2" bestFit="1" customWidth="1"/>
    <col min="2" max="2" width="80.33203125" style="2" bestFit="1" customWidth="1"/>
    <col min="3" max="3" width="18.83203125" style="8" bestFit="1" customWidth="1"/>
    <col min="4" max="4" width="66" style="2" bestFit="1" customWidth="1"/>
    <col min="5" max="5" width="19.33203125" style="2" bestFit="1" customWidth="1"/>
    <col min="6" max="6" width="16.6640625" style="2" customWidth="1"/>
    <col min="7" max="7" width="13.83203125" style="91" customWidth="1"/>
    <col min="8" max="8" width="14.83203125" style="2" customWidth="1"/>
    <col min="9" max="16384" width="9.1640625" style="2"/>
  </cols>
  <sheetData>
    <row r="1" spans="1:9" ht="54" x14ac:dyDescent="0.2">
      <c r="A1" s="102" t="s">
        <v>39</v>
      </c>
      <c r="B1" s="103" t="s">
        <v>40</v>
      </c>
      <c r="C1" s="103" t="s">
        <v>41</v>
      </c>
      <c r="D1" s="103" t="s">
        <v>60</v>
      </c>
      <c r="E1" s="103" t="s">
        <v>61</v>
      </c>
      <c r="F1" s="103" t="s">
        <v>44</v>
      </c>
      <c r="G1" s="104" t="s">
        <v>45</v>
      </c>
      <c r="H1" s="95" t="s">
        <v>46</v>
      </c>
      <c r="I1" s="107" t="s">
        <v>47</v>
      </c>
    </row>
    <row r="2" spans="1:9" ht="409.6" x14ac:dyDescent="0.2">
      <c r="A2" s="29">
        <v>1</v>
      </c>
      <c r="B2" s="56" t="s">
        <v>90</v>
      </c>
      <c r="C2" s="57" t="s">
        <v>52</v>
      </c>
      <c r="D2" s="27" t="s">
        <v>69</v>
      </c>
      <c r="E2" s="27"/>
      <c r="F2" s="28"/>
      <c r="G2" s="89"/>
      <c r="H2" s="7"/>
      <c r="I2" s="7"/>
    </row>
    <row r="3" spans="1:9" ht="395" x14ac:dyDescent="0.2">
      <c r="A3" s="17">
        <v>2</v>
      </c>
      <c r="B3" s="25" t="s">
        <v>54</v>
      </c>
      <c r="C3" s="25" t="s">
        <v>52</v>
      </c>
      <c r="D3" s="16" t="s">
        <v>98</v>
      </c>
      <c r="E3" s="16"/>
      <c r="F3" s="13"/>
      <c r="G3" s="89"/>
      <c r="H3" s="7"/>
      <c r="I3" s="7"/>
    </row>
    <row r="4" spans="1:9" ht="32" x14ac:dyDescent="0.2">
      <c r="A4" s="15">
        <v>3</v>
      </c>
      <c r="B4" s="16" t="s">
        <v>56</v>
      </c>
      <c r="C4" s="25"/>
      <c r="D4" s="16" t="s">
        <v>91</v>
      </c>
      <c r="E4" s="16"/>
      <c r="F4" s="13"/>
      <c r="G4" s="89"/>
      <c r="H4" s="15"/>
      <c r="I4" s="7"/>
    </row>
    <row r="5" spans="1:9" ht="395" x14ac:dyDescent="0.2">
      <c r="A5" s="17">
        <v>4</v>
      </c>
      <c r="B5" s="25" t="s">
        <v>71</v>
      </c>
      <c r="C5" s="25" t="s">
        <v>99</v>
      </c>
      <c r="D5" s="16" t="s">
        <v>98</v>
      </c>
      <c r="E5" s="16"/>
      <c r="F5" s="13"/>
      <c r="G5" s="89"/>
      <c r="H5" s="15"/>
      <c r="I5" s="7"/>
    </row>
    <row r="6" spans="1:9" ht="112" x14ac:dyDescent="0.2">
      <c r="A6" s="13">
        <v>5</v>
      </c>
      <c r="B6" s="13" t="s">
        <v>100</v>
      </c>
      <c r="C6" s="26"/>
      <c r="D6" s="12" t="s">
        <v>101</v>
      </c>
      <c r="E6" s="12"/>
      <c r="F6" s="13"/>
      <c r="G6" s="89"/>
      <c r="H6" s="15"/>
      <c r="I6" s="7"/>
    </row>
    <row r="7" spans="1:9" ht="395" x14ac:dyDescent="0.2">
      <c r="A7" s="13">
        <v>6</v>
      </c>
      <c r="B7" s="13" t="s">
        <v>102</v>
      </c>
      <c r="C7" s="26"/>
      <c r="D7" s="12" t="s">
        <v>103</v>
      </c>
      <c r="E7" s="12"/>
      <c r="F7" s="13"/>
      <c r="G7" s="89"/>
      <c r="H7" s="15"/>
      <c r="I7" s="7"/>
    </row>
    <row r="8" spans="1:9" ht="395" x14ac:dyDescent="0.2">
      <c r="A8" s="30">
        <v>7</v>
      </c>
      <c r="B8" s="25" t="s">
        <v>54</v>
      </c>
      <c r="C8" s="25" t="s">
        <v>104</v>
      </c>
      <c r="D8" s="16" t="s">
        <v>105</v>
      </c>
      <c r="E8" s="16"/>
      <c r="F8" s="13"/>
      <c r="G8" s="89"/>
      <c r="H8" s="15"/>
      <c r="I8" s="7"/>
    </row>
  </sheetData>
  <conditionalFormatting sqref="F1 H4:H8 G2:G1048576">
    <cfRule type="cellIs" dxfId="39" priority="7" operator="equal">
      <formula>"NOT RUN"</formula>
    </cfRule>
    <cfRule type="cellIs" dxfId="38" priority="8" operator="equal">
      <formula>"FAIL"</formula>
    </cfRule>
    <cfRule type="cellIs" dxfId="37" priority="9"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EB34C53-B9F0-4DCA-8F89-52E3C9391801}">
          <x14:formula1>
            <xm:f>'Data Validation'!$A$1:$A$3</xm:f>
          </x14:formula1>
          <xm:sqref>G1</xm:sqref>
        </x14:dataValidation>
        <x14:dataValidation type="list" allowBlank="1" showInputMessage="1" showErrorMessage="1" xr:uid="{6AA45AE3-E35F-4051-A16E-D0EC682DC77D}">
          <x14:formula1>
            <xm:f>'Data Validation'!$A$1:$A$3</xm:f>
          </x14:formula1>
          <xm:sqref>G2:G1048576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422E2-2340-46CC-B30E-89B95A36C823}">
  <sheetPr codeName="Sheet11">
    <tabColor indexed="50"/>
  </sheetPr>
  <dimension ref="A1:I7"/>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10.33203125" style="4" bestFit="1" customWidth="1"/>
    <col min="2" max="2" width="79.6640625" style="4" bestFit="1" customWidth="1"/>
    <col min="3" max="3" width="22.33203125" style="4" bestFit="1" customWidth="1"/>
    <col min="4" max="4" width="61.1640625" style="4" customWidth="1"/>
    <col min="5" max="5" width="19.33203125" style="4" bestFit="1" customWidth="1"/>
    <col min="6" max="6" width="18" style="4" customWidth="1"/>
    <col min="7" max="7" width="13.83203125" style="91" customWidth="1"/>
    <col min="8" max="8" width="14.83203125" style="2" customWidth="1"/>
    <col min="9" max="16384" width="9.1640625" style="4"/>
  </cols>
  <sheetData>
    <row r="1" spans="1:9" ht="54" x14ac:dyDescent="0.2">
      <c r="A1" s="95" t="s">
        <v>39</v>
      </c>
      <c r="B1" s="95" t="s">
        <v>40</v>
      </c>
      <c r="C1" s="95" t="s">
        <v>41</v>
      </c>
      <c r="D1" s="95" t="s">
        <v>60</v>
      </c>
      <c r="E1" s="95" t="s">
        <v>61</v>
      </c>
      <c r="F1" s="95" t="s">
        <v>44</v>
      </c>
      <c r="G1" s="96" t="s">
        <v>45</v>
      </c>
      <c r="H1" s="95" t="s">
        <v>46</v>
      </c>
      <c r="I1" s="107" t="s">
        <v>47</v>
      </c>
    </row>
    <row r="2" spans="1:9" ht="409.6" x14ac:dyDescent="0.2">
      <c r="A2" s="30">
        <v>1</v>
      </c>
      <c r="B2" s="36" t="s">
        <v>90</v>
      </c>
      <c r="C2" s="30" t="s">
        <v>52</v>
      </c>
      <c r="D2" s="16" t="s">
        <v>69</v>
      </c>
      <c r="E2" s="16"/>
      <c r="F2" s="12"/>
      <c r="G2" s="89"/>
      <c r="H2" s="7"/>
      <c r="I2" s="7"/>
    </row>
    <row r="3" spans="1:9" ht="32" x14ac:dyDescent="0.2">
      <c r="A3" s="17">
        <v>2</v>
      </c>
      <c r="B3" s="16" t="s">
        <v>56</v>
      </c>
      <c r="C3" s="16"/>
      <c r="D3" s="12" t="s">
        <v>91</v>
      </c>
      <c r="E3" s="12"/>
      <c r="F3" s="12"/>
      <c r="G3" s="89"/>
      <c r="H3" s="15"/>
      <c r="I3" s="15"/>
    </row>
    <row r="4" spans="1:9" ht="409.6" x14ac:dyDescent="0.2">
      <c r="A4" s="17">
        <v>3</v>
      </c>
      <c r="B4" s="17" t="s">
        <v>54</v>
      </c>
      <c r="C4" s="36" t="s">
        <v>58</v>
      </c>
      <c r="D4" s="16" t="s">
        <v>106</v>
      </c>
      <c r="E4" s="16"/>
      <c r="F4" s="12"/>
      <c r="G4" s="89"/>
      <c r="H4" s="15"/>
      <c r="I4" s="15"/>
    </row>
    <row r="5" spans="1:9" ht="365" x14ac:dyDescent="0.2">
      <c r="A5" s="134">
        <v>4</v>
      </c>
      <c r="B5" s="132" t="s">
        <v>107</v>
      </c>
      <c r="C5" s="17" t="s">
        <v>108</v>
      </c>
      <c r="D5" s="12" t="s">
        <v>109</v>
      </c>
      <c r="E5" s="12"/>
      <c r="F5" s="12"/>
      <c r="G5" s="89"/>
      <c r="H5" s="15"/>
      <c r="I5" s="15"/>
    </row>
    <row r="6" spans="1:9" ht="409.6" x14ac:dyDescent="0.2">
      <c r="A6" s="135"/>
      <c r="B6" s="133"/>
      <c r="C6" s="17"/>
      <c r="D6" s="12" t="s">
        <v>110</v>
      </c>
      <c r="E6" s="12"/>
      <c r="F6" s="12"/>
      <c r="G6" s="89"/>
      <c r="H6" s="15"/>
      <c r="I6" s="15"/>
    </row>
    <row r="7" spans="1:9" ht="409.6" x14ac:dyDescent="0.2">
      <c r="A7" s="12">
        <v>5</v>
      </c>
      <c r="B7" s="67" t="s">
        <v>111</v>
      </c>
      <c r="C7" s="12" t="s">
        <v>112</v>
      </c>
      <c r="D7" s="16" t="s">
        <v>113</v>
      </c>
      <c r="E7" s="16"/>
      <c r="F7" s="12"/>
      <c r="G7" s="89"/>
      <c r="H7" s="15"/>
      <c r="I7" s="15"/>
    </row>
  </sheetData>
  <mergeCells count="2">
    <mergeCell ref="B5:B6"/>
    <mergeCell ref="A5:A6"/>
  </mergeCells>
  <conditionalFormatting sqref="G2:G7">
    <cfRule type="cellIs" dxfId="36" priority="10" operator="equal">
      <formula>"PASS"</formula>
    </cfRule>
  </conditionalFormatting>
  <conditionalFormatting sqref="H3:H7 G2:G1048576">
    <cfRule type="cellIs" dxfId="35" priority="7" operator="equal">
      <formula>"NOT RUN"</formula>
    </cfRule>
    <cfRule type="cellIs" dxfId="34" priority="8" operator="equal">
      <formula>"FAIL"</formula>
    </cfRule>
    <cfRule type="cellIs" dxfId="33" priority="9"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4EBE7001-1EC9-43C5-A568-4009C6D0D0B6}">
          <x14:formula1>
            <xm:f>'Data Validation'!$A$1:$A$3</xm:f>
          </x14:formula1>
          <xm:sqref>G1</xm:sqref>
        </x14:dataValidation>
        <x14:dataValidation type="list" allowBlank="1" showInputMessage="1" showErrorMessage="1" xr:uid="{402C9874-6E08-4B32-97B0-4C9237FFA5C2}">
          <x14:formula1>
            <xm:f>'Data Validation'!$A$1:$A$3</xm:f>
          </x14:formula1>
          <xm:sqref>G2:G1048576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822A0-13D5-4BA7-886C-AD1DF8A0E761}">
  <sheetPr codeName="Sheet12">
    <tabColor indexed="50"/>
  </sheetPr>
  <dimension ref="A1:I8"/>
  <sheetViews>
    <sheetView showGridLines="0" topLeftCell="C1" workbookViewId="0">
      <pane ySplit="1" topLeftCell="A6" activePane="bottomLeft" state="frozen"/>
      <selection pane="bottomLeft" activeCell="I1" sqref="I1:I7"/>
    </sheetView>
  </sheetViews>
  <sheetFormatPr baseColWidth="10" defaultColWidth="9.1640625" defaultRowHeight="15" x14ac:dyDescent="0.2"/>
  <cols>
    <col min="1" max="1" width="10.33203125" style="4" bestFit="1" customWidth="1"/>
    <col min="2" max="2" width="79.6640625" style="4" bestFit="1" customWidth="1"/>
    <col min="3" max="3" width="22.33203125" style="4" bestFit="1" customWidth="1"/>
    <col min="4" max="4" width="61.1640625" style="4" customWidth="1"/>
    <col min="5" max="5" width="19.33203125" style="4" bestFit="1" customWidth="1"/>
    <col min="6" max="6" width="18" style="4" customWidth="1"/>
    <col min="7" max="7" width="13.83203125" style="91" customWidth="1"/>
    <col min="8" max="8" width="14.83203125" style="2" customWidth="1"/>
    <col min="9" max="16384" width="9.1640625" style="4"/>
  </cols>
  <sheetData>
    <row r="1" spans="1:9" ht="54" x14ac:dyDescent="0.2">
      <c r="A1" s="95" t="s">
        <v>39</v>
      </c>
      <c r="B1" s="95" t="s">
        <v>40</v>
      </c>
      <c r="C1" s="95" t="s">
        <v>41</v>
      </c>
      <c r="D1" s="95" t="s">
        <v>60</v>
      </c>
      <c r="E1" s="95" t="s">
        <v>61</v>
      </c>
      <c r="F1" s="95" t="s">
        <v>44</v>
      </c>
      <c r="G1" s="96" t="s">
        <v>45</v>
      </c>
      <c r="H1" s="95" t="s">
        <v>46</v>
      </c>
      <c r="I1" s="107" t="s">
        <v>47</v>
      </c>
    </row>
    <row r="2" spans="1:9" ht="409.6" x14ac:dyDescent="0.2">
      <c r="A2" s="30">
        <v>1</v>
      </c>
      <c r="B2" s="97" t="s">
        <v>78</v>
      </c>
      <c r="C2" s="30" t="s">
        <v>52</v>
      </c>
      <c r="D2" s="16" t="s">
        <v>69</v>
      </c>
      <c r="E2" s="16"/>
      <c r="F2" s="12"/>
      <c r="G2" s="90"/>
      <c r="H2" s="7"/>
      <c r="I2" s="7"/>
    </row>
    <row r="3" spans="1:9" ht="32" x14ac:dyDescent="0.2">
      <c r="A3" s="17">
        <v>2</v>
      </c>
      <c r="B3" s="98" t="s">
        <v>56</v>
      </c>
      <c r="C3" s="16"/>
      <c r="D3" s="12" t="s">
        <v>91</v>
      </c>
      <c r="E3" s="12"/>
      <c r="F3" s="12"/>
      <c r="G3" s="90"/>
      <c r="H3" s="15"/>
      <c r="I3" s="15"/>
    </row>
    <row r="4" spans="1:9" ht="409.6" x14ac:dyDescent="0.2">
      <c r="A4" s="17">
        <v>3</v>
      </c>
      <c r="B4" s="99" t="s">
        <v>54</v>
      </c>
      <c r="C4" s="36" t="s">
        <v>58</v>
      </c>
      <c r="D4" s="16" t="s">
        <v>106</v>
      </c>
      <c r="E4" s="16"/>
      <c r="F4" s="12"/>
      <c r="G4" s="90"/>
      <c r="H4" s="15"/>
      <c r="I4" s="15"/>
    </row>
    <row r="5" spans="1:9" ht="380" x14ac:dyDescent="0.2">
      <c r="A5" s="12">
        <v>4</v>
      </c>
      <c r="B5" s="98" t="s">
        <v>114</v>
      </c>
      <c r="C5" s="17" t="s">
        <v>67</v>
      </c>
      <c r="D5" s="12" t="s">
        <v>115</v>
      </c>
      <c r="E5" s="12"/>
      <c r="F5" s="12"/>
      <c r="G5" s="90"/>
      <c r="H5" s="15"/>
      <c r="I5" s="15"/>
    </row>
    <row r="6" spans="1:9" ht="176" x14ac:dyDescent="0.2">
      <c r="A6" s="12">
        <v>5</v>
      </c>
      <c r="B6" s="98" t="s">
        <v>116</v>
      </c>
      <c r="C6" s="17" t="s">
        <v>117</v>
      </c>
      <c r="D6" s="12" t="s">
        <v>118</v>
      </c>
      <c r="E6" s="12"/>
      <c r="F6" s="12"/>
      <c r="G6" s="90"/>
      <c r="H6" s="15"/>
      <c r="I6" s="15"/>
    </row>
    <row r="7" spans="1:9" ht="395" x14ac:dyDescent="0.2">
      <c r="A7" s="12">
        <v>6</v>
      </c>
      <c r="B7" s="100" t="s">
        <v>119</v>
      </c>
      <c r="C7" s="22" t="s">
        <v>112</v>
      </c>
      <c r="D7" s="23" t="s">
        <v>120</v>
      </c>
      <c r="E7" s="23"/>
      <c r="F7" s="22"/>
      <c r="G7" s="90"/>
      <c r="H7" s="15"/>
      <c r="I7" s="15"/>
    </row>
    <row r="8" spans="1:9" ht="409.6" x14ac:dyDescent="0.2">
      <c r="A8" s="15">
        <v>7</v>
      </c>
      <c r="B8" s="101" t="s">
        <v>54</v>
      </c>
      <c r="C8" s="63" t="s">
        <v>121</v>
      </c>
      <c r="D8" s="63" t="s">
        <v>122</v>
      </c>
      <c r="E8" s="63"/>
      <c r="F8" s="63"/>
      <c r="G8" s="90"/>
      <c r="H8" s="7"/>
      <c r="I8" s="15"/>
    </row>
  </sheetData>
  <conditionalFormatting sqref="G2:G8">
    <cfRule type="cellIs" dxfId="32" priority="10" operator="equal">
      <formula>"PASS"</formula>
    </cfRule>
  </conditionalFormatting>
  <conditionalFormatting sqref="H3:H7 G2:G1048576">
    <cfRule type="cellIs" dxfId="31" priority="7" operator="equal">
      <formula>"NOT RUN"</formula>
    </cfRule>
    <cfRule type="cellIs" dxfId="30" priority="8" operator="equal">
      <formula>"FAIL"</formula>
    </cfRule>
    <cfRule type="cellIs" dxfId="29" priority="9" operator="equal">
      <formula>"PASS"</formula>
    </cfRule>
  </conditionalFormatting>
  <conditionalFormatting sqref="G1">
    <cfRule type="cellIs" dxfId="28" priority="4" operator="equal">
      <formula>"NOT RUN"</formula>
    </cfRule>
    <cfRule type="cellIs" dxfId="27" priority="5" operator="equal">
      <formula>"FAIL"</formula>
    </cfRule>
    <cfRule type="cellIs" dxfId="26"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E5BE25B8-02EE-4180-86B9-B53DA4FB478F}">
          <x14:formula1>
            <xm:f>'Data Validation'!$A$1:$A$3</xm:f>
          </x14:formula1>
          <xm:sqref>G1</xm:sqref>
        </x14:dataValidation>
        <x14:dataValidation type="list" allowBlank="1" showInputMessage="1" showErrorMessage="1" xr:uid="{C99A3ABF-1219-4954-9A0E-AC849B0B3831}">
          <x14:formula1>
            <xm:f>'Data Validation'!$A$1:$A$3</xm:f>
          </x14:formula1>
          <xm:sqref>G2:G1048576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48F9-E15A-4594-9B64-E447B9CF889D}">
  <sheetPr codeName="Sheet13">
    <tabColor indexed="50"/>
  </sheetPr>
  <dimension ref="A1:I6"/>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8.33203125" style="4" bestFit="1" customWidth="1"/>
    <col min="2" max="2" width="79.6640625" style="4" customWidth="1"/>
    <col min="3" max="3" width="21.33203125" style="4" bestFit="1" customWidth="1"/>
    <col min="4" max="4" width="66" style="4" bestFit="1" customWidth="1"/>
    <col min="5" max="5" width="19.33203125" style="4" bestFit="1" customWidth="1"/>
    <col min="6" max="6" width="14.6640625" style="4" bestFit="1" customWidth="1"/>
    <col min="7" max="7" width="13.1640625" style="91" bestFit="1" customWidth="1"/>
    <col min="8" max="8" width="14.83203125" style="2" customWidth="1"/>
    <col min="9" max="16384" width="9.1640625" style="4"/>
  </cols>
  <sheetData>
    <row r="1" spans="1:9" ht="54" x14ac:dyDescent="0.2">
      <c r="A1" s="95" t="s">
        <v>39</v>
      </c>
      <c r="B1" s="95" t="s">
        <v>40</v>
      </c>
      <c r="C1" s="95" t="s">
        <v>41</v>
      </c>
      <c r="D1" s="95" t="s">
        <v>89</v>
      </c>
      <c r="E1" s="95" t="s">
        <v>61</v>
      </c>
      <c r="F1" s="95" t="s">
        <v>44</v>
      </c>
      <c r="G1" s="96" t="s">
        <v>45</v>
      </c>
      <c r="H1" s="95" t="s">
        <v>46</v>
      </c>
      <c r="I1" s="107" t="s">
        <v>47</v>
      </c>
    </row>
    <row r="2" spans="1:9" ht="409.6" x14ac:dyDescent="0.2">
      <c r="A2" s="12">
        <v>1</v>
      </c>
      <c r="B2" s="36" t="s">
        <v>78</v>
      </c>
      <c r="C2" s="36" t="s">
        <v>52</v>
      </c>
      <c r="D2" s="16" t="s">
        <v>69</v>
      </c>
      <c r="E2" s="16"/>
      <c r="F2" s="12"/>
      <c r="G2" s="93"/>
      <c r="H2" s="7"/>
      <c r="I2" s="7"/>
    </row>
    <row r="3" spans="1:9" ht="32" x14ac:dyDescent="0.2">
      <c r="A3" s="12">
        <v>2</v>
      </c>
      <c r="B3" s="16" t="s">
        <v>56</v>
      </c>
      <c r="C3" s="16"/>
      <c r="D3" s="16" t="s">
        <v>123</v>
      </c>
      <c r="E3" s="16"/>
      <c r="F3" s="12"/>
      <c r="G3" s="94"/>
      <c r="H3" s="15"/>
      <c r="I3" s="15"/>
    </row>
    <row r="4" spans="1:9" ht="380" x14ac:dyDescent="0.2">
      <c r="A4" s="15">
        <v>3</v>
      </c>
      <c r="B4" s="17" t="s">
        <v>54</v>
      </c>
      <c r="C4" s="17" t="s">
        <v>58</v>
      </c>
      <c r="D4" s="16" t="s">
        <v>124</v>
      </c>
      <c r="E4" s="16"/>
      <c r="F4" s="12"/>
      <c r="G4" s="94"/>
      <c r="H4" s="15"/>
      <c r="I4" s="15"/>
    </row>
    <row r="5" spans="1:9" ht="395" x14ac:dyDescent="0.2">
      <c r="A5" s="12">
        <v>4</v>
      </c>
      <c r="B5" s="67" t="s">
        <v>125</v>
      </c>
      <c r="C5" s="12" t="s">
        <v>126</v>
      </c>
      <c r="D5" s="16" t="s">
        <v>127</v>
      </c>
      <c r="E5" s="16"/>
      <c r="F5" s="12"/>
      <c r="G5" s="89"/>
      <c r="H5" s="15"/>
      <c r="I5" s="15"/>
    </row>
    <row r="6" spans="1:9" x14ac:dyDescent="0.2">
      <c r="A6" s="6"/>
    </row>
  </sheetData>
  <conditionalFormatting sqref="G2">
    <cfRule type="cellIs" dxfId="25" priority="10" operator="equal">
      <formula>"PASS"</formula>
    </cfRule>
  </conditionalFormatting>
  <conditionalFormatting sqref="H3:H5 G2:G1048576">
    <cfRule type="cellIs" dxfId="24" priority="7" operator="equal">
      <formula>"NOT RUN"</formula>
    </cfRule>
    <cfRule type="cellIs" dxfId="23" priority="8" operator="equal">
      <formula>"FAIL"</formula>
    </cfRule>
    <cfRule type="cellIs" dxfId="22" priority="9" operator="equal">
      <formula>"PASS"</formula>
    </cfRule>
  </conditionalFormatting>
  <conditionalFormatting sqref="D1:E1">
    <cfRule type="cellIs" dxfId="21" priority="4" operator="equal">
      <formula>"NO RUN"</formula>
    </cfRule>
    <cfRule type="cellIs" dxfId="20" priority="5" operator="equal">
      <formula>"FAIL"</formula>
    </cfRule>
    <cfRule type="cellIs" dxfId="19"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DD2F8EEA-8EFF-4E2C-B4AC-AB8957497F93}">
          <x14:formula1>
            <xm:f>'Data Validation'!$A$1:$A$3</xm:f>
          </x14:formula1>
          <xm:sqref>G1</xm:sqref>
        </x14:dataValidation>
        <x14:dataValidation type="list" allowBlank="1" showInputMessage="1" showErrorMessage="1" xr:uid="{7BDF792D-ACBD-4C88-AF79-2609B09D6120}">
          <x14:formula1>
            <xm:f>'Data Validation'!$A$1:$A$3</xm:f>
          </x14:formula1>
          <xm:sqref>G2:G1048576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369F-7E5C-4916-AB16-96891BF735BB}">
  <sheetPr codeName="Sheet14">
    <tabColor indexed="50"/>
  </sheetPr>
  <dimension ref="A1:I7"/>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10.33203125" style="4" bestFit="1"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4.33203125" style="91" customWidth="1"/>
    <col min="8" max="8" width="14.83203125" style="2" customWidth="1"/>
    <col min="9" max="16384" width="9.1640625" style="4"/>
  </cols>
  <sheetData>
    <row r="1" spans="1:9" ht="54" x14ac:dyDescent="0.2">
      <c r="A1" s="95" t="s">
        <v>39</v>
      </c>
      <c r="B1" s="95" t="s">
        <v>40</v>
      </c>
      <c r="C1" s="95" t="s">
        <v>41</v>
      </c>
      <c r="D1" s="95" t="s">
        <v>89</v>
      </c>
      <c r="E1" s="95" t="s">
        <v>61</v>
      </c>
      <c r="F1" s="95" t="s">
        <v>44</v>
      </c>
      <c r="G1" s="96" t="s">
        <v>45</v>
      </c>
      <c r="H1" s="95" t="s">
        <v>46</v>
      </c>
      <c r="I1" s="107" t="s">
        <v>47</v>
      </c>
    </row>
    <row r="2" spans="1:9" ht="409.6" x14ac:dyDescent="0.2">
      <c r="A2" s="30">
        <v>1</v>
      </c>
      <c r="B2" s="36" t="s">
        <v>78</v>
      </c>
      <c r="C2" s="36" t="s">
        <v>52</v>
      </c>
      <c r="D2" s="16" t="s">
        <v>69</v>
      </c>
      <c r="E2" s="16"/>
      <c r="F2" s="12"/>
      <c r="G2" s="89"/>
      <c r="H2" s="7"/>
      <c r="I2" s="7"/>
    </row>
    <row r="3" spans="1:9" ht="32" x14ac:dyDescent="0.2">
      <c r="A3" s="12">
        <v>3</v>
      </c>
      <c r="B3" s="16" t="s">
        <v>56</v>
      </c>
      <c r="C3" s="16"/>
      <c r="D3" s="16" t="s">
        <v>91</v>
      </c>
      <c r="E3" s="16"/>
      <c r="F3" s="12"/>
      <c r="G3" s="89"/>
      <c r="H3" s="15"/>
      <c r="I3" s="15"/>
    </row>
    <row r="4" spans="1:9" ht="380" x14ac:dyDescent="0.2">
      <c r="A4" s="30">
        <v>4</v>
      </c>
      <c r="B4" s="17" t="s">
        <v>54</v>
      </c>
      <c r="C4" s="17" t="s">
        <v>58</v>
      </c>
      <c r="D4" s="16" t="s">
        <v>124</v>
      </c>
      <c r="E4" s="16"/>
      <c r="F4" s="12"/>
      <c r="G4" s="89"/>
      <c r="H4" s="15"/>
      <c r="I4" s="15"/>
    </row>
    <row r="5" spans="1:9" ht="395" x14ac:dyDescent="0.2">
      <c r="A5" s="17">
        <v>5</v>
      </c>
      <c r="B5" s="38" t="s">
        <v>128</v>
      </c>
      <c r="C5" s="12" t="s">
        <v>126</v>
      </c>
      <c r="D5" s="16" t="s">
        <v>129</v>
      </c>
      <c r="E5" s="16"/>
      <c r="F5" s="12"/>
      <c r="G5" s="89"/>
      <c r="H5" s="15"/>
      <c r="I5" s="15"/>
    </row>
    <row r="6" spans="1:9" ht="380" x14ac:dyDescent="0.2">
      <c r="A6" s="17">
        <v>6</v>
      </c>
      <c r="B6" s="38" t="s">
        <v>54</v>
      </c>
      <c r="C6" s="12" t="s">
        <v>130</v>
      </c>
      <c r="D6" s="16" t="s">
        <v>131</v>
      </c>
      <c r="E6" s="16"/>
      <c r="F6" s="12"/>
      <c r="G6" s="89"/>
      <c r="H6" s="15"/>
      <c r="I6" s="15"/>
    </row>
    <row r="7" spans="1:9" ht="380" x14ac:dyDescent="0.2">
      <c r="A7" s="15">
        <v>7</v>
      </c>
      <c r="B7" s="38" t="s">
        <v>132</v>
      </c>
      <c r="C7" s="12" t="s">
        <v>133</v>
      </c>
      <c r="D7" s="16" t="s">
        <v>134</v>
      </c>
      <c r="E7" s="16"/>
      <c r="F7" s="15"/>
      <c r="G7" s="89"/>
      <c r="H7" s="7"/>
      <c r="I7" s="15"/>
    </row>
  </sheetData>
  <conditionalFormatting sqref="D1:E1">
    <cfRule type="cellIs" dxfId="18" priority="13" operator="equal">
      <formula>"NO RUN"</formula>
    </cfRule>
    <cfRule type="cellIs" dxfId="17" priority="14" operator="equal">
      <formula>"FAIL"</formula>
    </cfRule>
    <cfRule type="cellIs" dxfId="16" priority="15" operator="equal">
      <formula>"PASS"</formula>
    </cfRule>
  </conditionalFormatting>
  <conditionalFormatting sqref="G2:G7">
    <cfRule type="cellIs" dxfId="15" priority="1" operator="equal">
      <formula>"NOT RUN"</formula>
    </cfRule>
    <cfRule type="cellIs" dxfId="14" priority="2" operator="equal">
      <formula>"FAIL"</formula>
    </cfRule>
    <cfRule type="cellIs" dxfId="13"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F161B039-BE46-4AA4-B0AB-0FFE30B29BEA}">
          <x14:formula1>
            <xm:f>'Data Validation'!$A$1:$A$3</xm:f>
          </x14:formula1>
          <xm:sqref>G1</xm:sqref>
        </x14:dataValidation>
        <x14:dataValidation type="list" allowBlank="1" showInputMessage="1" showErrorMessage="1" xr:uid="{8A9B6825-E4E9-4D87-A7C2-D7E423770D07}">
          <x14:formula1>
            <xm:f>'Data Validation'!$A$1:$A$3</xm:f>
          </x14:formula1>
          <xm:sqref>G2:G1048576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9869C-1351-430D-A35D-43BA5940D089}">
  <sheetPr codeName="Sheet15">
    <tabColor indexed="50"/>
  </sheetPr>
  <dimension ref="A1:I6"/>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9.1640625" style="4" bestFit="1" customWidth="1"/>
    <col min="2" max="2" width="79.6640625" style="4" customWidth="1"/>
    <col min="3" max="3" width="21.33203125" style="4" bestFit="1" customWidth="1"/>
    <col min="4" max="4" width="66" style="4" bestFit="1" customWidth="1"/>
    <col min="5" max="5" width="19.33203125" style="4" bestFit="1" customWidth="1"/>
    <col min="6" max="6" width="16.33203125" style="4" customWidth="1"/>
    <col min="7" max="7" width="13.1640625" style="91" bestFit="1" customWidth="1"/>
    <col min="8" max="8" width="14.83203125" style="2" customWidth="1"/>
    <col min="9" max="16384" width="9.1640625" style="4"/>
  </cols>
  <sheetData>
    <row r="1" spans="1:9" ht="54" x14ac:dyDescent="0.2">
      <c r="A1" s="95" t="s">
        <v>39</v>
      </c>
      <c r="B1" s="95" t="s">
        <v>40</v>
      </c>
      <c r="C1" s="95" t="s">
        <v>41</v>
      </c>
      <c r="D1" s="95" t="s">
        <v>89</v>
      </c>
      <c r="E1" s="95" t="s">
        <v>61</v>
      </c>
      <c r="F1" s="95" t="s">
        <v>44</v>
      </c>
      <c r="G1" s="96" t="s">
        <v>45</v>
      </c>
      <c r="H1" s="95" t="s">
        <v>46</v>
      </c>
      <c r="I1" s="107" t="s">
        <v>47</v>
      </c>
    </row>
    <row r="2" spans="1:9" ht="409.6" x14ac:dyDescent="0.2">
      <c r="A2" s="12">
        <v>1</v>
      </c>
      <c r="B2" s="36" t="s">
        <v>78</v>
      </c>
      <c r="C2" s="36" t="s">
        <v>52</v>
      </c>
      <c r="D2" s="16" t="s">
        <v>69</v>
      </c>
      <c r="E2" s="16"/>
      <c r="F2" s="12"/>
      <c r="G2" s="89"/>
      <c r="H2" s="7"/>
      <c r="I2" s="7"/>
    </row>
    <row r="3" spans="1:9" ht="32" x14ac:dyDescent="0.2">
      <c r="A3" s="12">
        <v>3</v>
      </c>
      <c r="B3" s="16" t="s">
        <v>56</v>
      </c>
      <c r="C3" s="16"/>
      <c r="D3" s="16" t="s">
        <v>123</v>
      </c>
      <c r="E3" s="16"/>
      <c r="F3" s="12"/>
      <c r="G3" s="89"/>
      <c r="H3" s="15"/>
      <c r="I3" s="15"/>
    </row>
    <row r="4" spans="1:9" ht="380" x14ac:dyDescent="0.2">
      <c r="A4" s="15">
        <v>4</v>
      </c>
      <c r="B4" s="17" t="s">
        <v>54</v>
      </c>
      <c r="C4" s="17" t="s">
        <v>58</v>
      </c>
      <c r="D4" s="16" t="s">
        <v>124</v>
      </c>
      <c r="E4" s="16"/>
      <c r="F4" s="12"/>
      <c r="G4" s="89"/>
      <c r="H4" s="15"/>
      <c r="I4" s="15"/>
    </row>
    <row r="5" spans="1:9" ht="409.6" x14ac:dyDescent="0.2">
      <c r="A5" s="12">
        <v>5</v>
      </c>
      <c r="B5" s="67" t="s">
        <v>135</v>
      </c>
      <c r="C5" s="12" t="s">
        <v>136</v>
      </c>
      <c r="D5" s="16" t="s">
        <v>137</v>
      </c>
      <c r="E5" s="16"/>
      <c r="F5" s="12"/>
      <c r="G5" s="89"/>
      <c r="H5" s="15"/>
      <c r="I5" s="15"/>
    </row>
    <row r="6" spans="1:9" ht="16" x14ac:dyDescent="0.2">
      <c r="A6" s="6"/>
      <c r="B6" s="4" t="s">
        <v>54</v>
      </c>
      <c r="C6" s="4" t="s">
        <v>58</v>
      </c>
    </row>
  </sheetData>
  <conditionalFormatting sqref="D1:E1">
    <cfRule type="cellIs" dxfId="12" priority="7" operator="equal">
      <formula>"NO RUN"</formula>
    </cfRule>
    <cfRule type="cellIs" dxfId="11" priority="8" operator="equal">
      <formula>"FAIL"</formula>
    </cfRule>
    <cfRule type="cellIs" dxfId="10" priority="9" operator="equal">
      <formula>"PASS"</formula>
    </cfRule>
  </conditionalFormatting>
  <conditionalFormatting sqref="G2:G5">
    <cfRule type="cellIs" dxfId="9" priority="1" operator="equal">
      <formula>"NOT RUN"</formula>
    </cfRule>
    <cfRule type="cellIs" dxfId="8" priority="2" operator="equal">
      <formula>"FAIL"</formula>
    </cfRule>
    <cfRule type="cellIs" dxfId="7"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56034CCC-5FC4-4708-85F8-EF1C24977BEB}">
          <x14:formula1>
            <xm:f>'Data Validation'!$A$1:$A$3</xm:f>
          </x14:formula1>
          <xm:sqref>G1</xm:sqref>
        </x14:dataValidation>
        <x14:dataValidation type="list" allowBlank="1" showInputMessage="1" showErrorMessage="1" xr:uid="{2FBA9AA3-3923-47C1-B908-3B9CE057FD1A}">
          <x14:formula1>
            <xm:f>'Data Validation'!$A$1:$A$3</xm:f>
          </x14:formula1>
          <xm:sqref>G2:G1048576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AFCFA-3ABC-4AA7-98C2-A07169895AB4}">
  <sheetPr codeName="Sheet16">
    <tabColor indexed="50"/>
  </sheetPr>
  <dimension ref="A1:I7"/>
  <sheetViews>
    <sheetView showGridLines="0" workbookViewId="0">
      <pane ySplit="1" topLeftCell="A5" activePane="bottomLeft" state="frozen"/>
      <selection pane="bottomLeft" activeCell="D7" sqref="D7"/>
    </sheetView>
  </sheetViews>
  <sheetFormatPr baseColWidth="10" defaultColWidth="9.1640625" defaultRowHeight="15" x14ac:dyDescent="0.2"/>
  <cols>
    <col min="1" max="1" width="10.33203125" style="4" bestFit="1"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4.33203125" style="4" customWidth="1"/>
    <col min="8" max="8" width="14.83203125" style="2" customWidth="1"/>
    <col min="9" max="16384" width="9.1640625" style="4"/>
  </cols>
  <sheetData>
    <row r="1" spans="1:9" ht="54" x14ac:dyDescent="0.2">
      <c r="A1" s="95" t="s">
        <v>39</v>
      </c>
      <c r="B1" s="95" t="s">
        <v>40</v>
      </c>
      <c r="C1" s="95" t="s">
        <v>41</v>
      </c>
      <c r="D1" s="95" t="s">
        <v>89</v>
      </c>
      <c r="E1" s="95" t="s">
        <v>61</v>
      </c>
      <c r="F1" s="95" t="s">
        <v>44</v>
      </c>
      <c r="G1" s="95" t="s">
        <v>45</v>
      </c>
      <c r="H1" s="95" t="s">
        <v>46</v>
      </c>
      <c r="I1" s="107" t="s">
        <v>47</v>
      </c>
    </row>
    <row r="2" spans="1:9" ht="409.6" x14ac:dyDescent="0.2">
      <c r="A2" s="30">
        <v>1</v>
      </c>
      <c r="B2" s="36" t="s">
        <v>78</v>
      </c>
      <c r="C2" s="36" t="s">
        <v>52</v>
      </c>
      <c r="D2" s="16" t="s">
        <v>69</v>
      </c>
      <c r="E2" s="16"/>
      <c r="F2" s="12"/>
      <c r="G2" s="89"/>
      <c r="H2" s="7"/>
      <c r="I2" s="7"/>
    </row>
    <row r="3" spans="1:9" ht="32" x14ac:dyDescent="0.2">
      <c r="A3" s="12">
        <v>2</v>
      </c>
      <c r="B3" s="67" t="s">
        <v>138</v>
      </c>
      <c r="C3" s="16"/>
      <c r="D3" s="16" t="s">
        <v>123</v>
      </c>
      <c r="E3" s="16"/>
      <c r="F3" s="12"/>
      <c r="G3" s="89"/>
      <c r="H3" s="15"/>
      <c r="I3" s="15"/>
    </row>
    <row r="4" spans="1:9" ht="380" x14ac:dyDescent="0.2">
      <c r="A4" s="30">
        <v>3</v>
      </c>
      <c r="B4" s="17" t="s">
        <v>54</v>
      </c>
      <c r="C4" s="17" t="s">
        <v>58</v>
      </c>
      <c r="D4" s="16" t="s">
        <v>124</v>
      </c>
      <c r="E4" s="16"/>
      <c r="F4" s="12"/>
      <c r="G4" s="89"/>
      <c r="H4" s="15"/>
      <c r="I4" s="15"/>
    </row>
    <row r="5" spans="1:9" ht="409.6" x14ac:dyDescent="0.2">
      <c r="A5" s="17">
        <v>4</v>
      </c>
      <c r="B5" s="38" t="s">
        <v>139</v>
      </c>
      <c r="C5" s="12" t="s">
        <v>140</v>
      </c>
      <c r="D5" s="16" t="s">
        <v>137</v>
      </c>
      <c r="E5" s="16"/>
      <c r="F5" s="12"/>
      <c r="G5" s="89"/>
      <c r="H5" s="15"/>
      <c r="I5" s="15"/>
    </row>
    <row r="6" spans="1:9" ht="409.6" x14ac:dyDescent="0.2">
      <c r="A6" s="15">
        <v>5</v>
      </c>
      <c r="B6" s="38" t="s">
        <v>141</v>
      </c>
      <c r="C6" s="12" t="s">
        <v>142</v>
      </c>
      <c r="D6" s="16" t="s">
        <v>143</v>
      </c>
      <c r="E6" s="16"/>
      <c r="F6" s="15"/>
      <c r="G6" s="89"/>
      <c r="H6" s="7"/>
      <c r="I6" s="15"/>
    </row>
    <row r="7" spans="1:9" ht="380" x14ac:dyDescent="0.2">
      <c r="A7" s="15">
        <v>6</v>
      </c>
      <c r="B7" s="17" t="s">
        <v>54</v>
      </c>
      <c r="C7" s="17" t="s">
        <v>58</v>
      </c>
      <c r="D7" s="16" t="s">
        <v>144</v>
      </c>
      <c r="E7" s="16"/>
      <c r="F7" s="15"/>
      <c r="G7" s="89"/>
      <c r="H7" s="7"/>
      <c r="I7" s="15"/>
    </row>
  </sheetData>
  <conditionalFormatting sqref="G2">
    <cfRule type="cellIs" dxfId="6" priority="10" operator="equal">
      <formula>"PASS"</formula>
    </cfRule>
  </conditionalFormatting>
  <conditionalFormatting sqref="H3:H5 G2:G1048576">
    <cfRule type="cellIs" dxfId="5" priority="7" operator="equal">
      <formula>"NOT RUN"</formula>
    </cfRule>
    <cfRule type="cellIs" dxfId="4" priority="8" operator="equal">
      <formula>"FAIL"</formula>
    </cfRule>
    <cfRule type="cellIs" dxfId="3" priority="9" operator="equal">
      <formula>"PASS"</formula>
    </cfRule>
  </conditionalFormatting>
  <conditionalFormatting sqref="D1:E1">
    <cfRule type="cellIs" dxfId="2" priority="4" operator="equal">
      <formula>"NO RUN"</formula>
    </cfRule>
    <cfRule type="cellIs" dxfId="1" priority="5" operator="equal">
      <formula>"FAIL"</formula>
    </cfRule>
    <cfRule type="cellIs" dxfId="0"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D1F37154-1171-42C2-B898-F9DA6AA812CD}">
          <x14:formula1>
            <xm:f>'Data Validation'!$A$1:$A$3</xm:f>
          </x14:formula1>
          <xm:sqref>G1</xm:sqref>
        </x14:dataValidation>
        <x14:dataValidation type="list" allowBlank="1" showInputMessage="1" showErrorMessage="1" xr:uid="{933F8E11-64F5-47C8-AAD8-AD4CF71FFE6D}">
          <x14:formula1>
            <xm:f>'Data Validation'!$A$1:$A$3</xm:f>
          </x14:formula1>
          <xm:sqref>G2:G1048576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5E9A8495D06144B87138ACC8919BA2" ma:contentTypeVersion="13" ma:contentTypeDescription="Create a new document." ma:contentTypeScope="" ma:versionID="b51ebd97b328b12068454ade64768e31">
  <xsd:schema xmlns:xsd="http://www.w3.org/2001/XMLSchema" xmlns:xs="http://www.w3.org/2001/XMLSchema" xmlns:p="http://schemas.microsoft.com/office/2006/metadata/properties" xmlns:ns2="1189aa4d-f792-4f67-a16d-0451d9e7fd2e" xmlns:ns3="0f9b0cd3-ca20-4139-8e68-f40d0ef1d56f" targetNamespace="http://schemas.microsoft.com/office/2006/metadata/properties" ma:root="true" ma:fieldsID="a647800a14af97b9952aa817a9e2c32e" ns2:_="" ns3:_="">
    <xsd:import namespace="1189aa4d-f792-4f67-a16d-0451d9e7fd2e"/>
    <xsd:import namespace="0f9b0cd3-ca20-4139-8e68-f40d0ef1d5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189aa4d-f792-4f67-a16d-0451d9e7fd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5472abc-7bad-4bfe-b49b-3e1fc3e3db6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f9b0cd3-ca20-4139-8e68-f40d0ef1d56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009df8e-a0b8-41e0-9c00-35a510415c19}" ma:internalName="TaxCatchAll" ma:showField="CatchAllData" ma:web="0f9b0cd3-ca20-4139-8e68-f40d0ef1d56f">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_dlc_DocId" ma:index="21" nillable="true" ma:displayName="Document ID Value" ma:description="The value of the document ID assigned to this item." ma:indexed="true" ma:internalName="_dlc_DocId" ma:readOnly="true">
      <xsd:simpleType>
        <xsd:restriction base="dms:Text"/>
      </xsd:simpleType>
    </xsd:element>
    <xsd:element name="_dlc_DocIdUrl" ma:index="2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3"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189aa4d-f792-4f67-a16d-0451d9e7fd2e">
      <Terms xmlns="http://schemas.microsoft.com/office/infopath/2007/PartnerControls"/>
    </lcf76f155ced4ddcb4097134ff3c332f>
    <TaxCatchAll xmlns="0f9b0cd3-ca20-4139-8e68-f40d0ef1d56f" xsi:nil="true"/>
    <_dlc_DocId xmlns="0f9b0cd3-ca20-4139-8e68-f40d0ef1d56f">BANGO-1490062555-141001</_dlc_DocId>
    <_dlc_DocIdUrl xmlns="0f9b0cd3-ca20-4139-8e68-f40d0ef1d56f">
      <Url>https://bango365.sharepoint.com/sites/BangoDocumentShare/_layouts/15/DocIdRedir.aspx?ID=BANGO-1490062555-141001</Url>
      <Description>BANGO-1490062555-141001</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C1928C9-6FF6-4AD6-985B-E646B5DBF6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189aa4d-f792-4f67-a16d-0451d9e7fd2e"/>
    <ds:schemaRef ds:uri="0f9b0cd3-ca20-4139-8e68-f40d0ef1d5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0E689EA-3ABC-473D-A7F6-76CF810630F1}">
  <ds:schemaRefs>
    <ds:schemaRef ds:uri="http://schemas.microsoft.com/sharepoint/v3/contenttype/forms"/>
  </ds:schemaRefs>
</ds:datastoreItem>
</file>

<file path=customXml/itemProps3.xml><?xml version="1.0" encoding="utf-8"?>
<ds:datastoreItem xmlns:ds="http://schemas.openxmlformats.org/officeDocument/2006/customXml" ds:itemID="{0C526F38-7BA0-4572-B7DD-B37043DFDCE9}">
  <ds:schemaRefs>
    <ds:schemaRef ds:uri="http://www.w3.org/XML/1998/namespace"/>
    <ds:schemaRef ds:uri="http://schemas.openxmlformats.org/package/2006/metadata/core-properties"/>
    <ds:schemaRef ds:uri="http://schemas.microsoft.com/office/2006/documentManagement/types"/>
    <ds:schemaRef ds:uri="http://purl.org/dc/elements/1.1/"/>
    <ds:schemaRef ds:uri="0f9b0cd3-ca20-4139-8e68-f40d0ef1d56f"/>
    <ds:schemaRef ds:uri="http://schemas.microsoft.com/office/infopath/2007/PartnerControls"/>
    <ds:schemaRef ds:uri="http://purl.org/dc/terms/"/>
    <ds:schemaRef ds:uri="1189aa4d-f792-4f67-a16d-0451d9e7fd2e"/>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C8BF3520-6DE9-4D40-856E-AC119DBDB3A6}">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Data Validation</vt:lpstr>
      <vt:lpstr>Overview</vt:lpstr>
      <vt:lpstr>Tests Summary</vt:lpstr>
      <vt:lpstr>Echo</vt:lpstr>
      <vt:lpstr>Activate</vt:lpstr>
      <vt:lpstr>Sync Reseller Product Update</vt:lpstr>
      <vt:lpstr>Async Reseller Product Update</vt:lpstr>
      <vt:lpstr>Merchant Product Update</vt:lpstr>
      <vt:lpstr>Sync Termination Immediate</vt:lpstr>
      <vt:lpstr>Async Termination Immediate</vt:lpstr>
      <vt:lpstr>Merchant Termination</vt:lpstr>
      <vt:lpstr>Sync Termination EoBC</vt:lpstr>
      <vt:lpstr>Async Termination EoBC</vt:lpstr>
      <vt:lpstr>Suspend Sync</vt:lpstr>
      <vt:lpstr>Resume Sync</vt:lpstr>
      <vt:lpstr>Suspend Async</vt:lpstr>
      <vt:lpstr>Resume Async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Asha Belaguly [net GBR]</dc:creator>
  <cp:keywords/>
  <dc:description/>
  <cp:lastModifiedBy>Tiago Heitor [PRT]</cp:lastModifiedBy>
  <cp:revision/>
  <dcterms:created xsi:type="dcterms:W3CDTF">2020-05-13T10:12:58Z</dcterms:created>
  <dcterms:modified xsi:type="dcterms:W3CDTF">2023-04-28T11:16:22Z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0x010100BF5E9A8495D06144B87138ACC8919BA2</vt:lpwstr>
  </property>
  <property fmtid="{D5CDD505-2E9C-101B-9397-08002B2CF9AE}" pid="3" name="_dlc_DocIdItemGuid">
    <vt:lpwstr>8d588555-377b-41c0-a156-cab6b67ef089</vt:lpwstr>
  </property>
  <property fmtid="{D5CDD505-2E9C-101B-9397-08002B2CF9AE}" pid="4" name="MediaServiceImageTags">
    <vt:lpwstr/>
  </property>
</Properties>
</file>